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eateasterngeneralid.sharepoint.com/teams/FPMSArchitectAssignment/Shared Documents/JD21-Migration/01_Analysis/003_analysis_excel/"/>
    </mc:Choice>
  </mc:AlternateContent>
  <xr:revisionPtr revIDLastSave="872" documentId="8_{E32AEA13-6F5C-4879-9D04-25CBEE6A33F5}" xr6:coauthVersionLast="47" xr6:coauthVersionMax="47" xr10:uidLastSave="{90016439-C68A-4B44-8896-779159720044}"/>
  <bookViews>
    <workbookView xWindow="-108" yWindow="-108" windowWidth="23256" windowHeight="12456" tabRatio="341" activeTab="1" xr2:uid="{9C8AFF50-27EB-403C-9EC4-3B7CE935B8F1}"/>
  </bookViews>
  <sheets>
    <sheet name="master_pattern_v8" sheetId="4" r:id="rId1"/>
    <sheet name="pivot_static_view" sheetId="6" r:id="rId2"/>
  </sheets>
  <definedNames>
    <definedName name="_xlnm._FilterDatabase" localSheetId="1" hidden="1">pivot_static_view!$A$1:$U$116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6" l="1"/>
  <c r="Y15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16" i="6"/>
  <c r="AA17" i="6"/>
  <c r="AA14" i="6"/>
  <c r="AA13" i="6"/>
  <c r="Z12" i="6"/>
  <c r="Y12" i="6"/>
  <c r="AA10" i="6"/>
  <c r="AA11" i="6"/>
  <c r="AA9" i="6"/>
  <c r="Z8" i="6"/>
  <c r="Y8" i="6"/>
  <c r="AA6" i="6"/>
  <c r="AA7" i="6"/>
  <c r="AA5" i="6"/>
  <c r="Z4" i="6"/>
  <c r="AA2" i="6"/>
  <c r="AA4" i="6" s="1"/>
  <c r="Y4" i="6"/>
  <c r="AA15" i="6" l="1"/>
  <c r="AA12" i="6"/>
  <c r="AA8" i="6"/>
</calcChain>
</file>

<file path=xl/sharedStrings.xml><?xml version="1.0" encoding="utf-8"?>
<sst xmlns="http://schemas.openxmlformats.org/spreadsheetml/2006/main" count="5824" uniqueCount="1345">
  <si>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</si>
  <si>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</si>
  <si>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</si>
  <si>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</si>
  <si>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</si>
  <si>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</si>
  <si>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</si>
  <si>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</si>
  <si>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</si>
  <si>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</si>
  <si>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</si>
  <si>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</si>
  <si>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</si>
  <si>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SNO_PHASE_BATCH</t>
  </si>
  <si>
    <t>TOTAL</t>
  </si>
  <si>
    <t>APPLICATIONNAME</t>
  </si>
  <si>
    <t>TRACK</t>
  </si>
  <si>
    <t>PHASE</t>
  </si>
  <si>
    <t>BATCH</t>
  </si>
  <si>
    <t>JDK-COMPATIBILITYSTATUS-CONCLUDED</t>
  </si>
  <si>
    <t>JDK8-COMPATIBLE</t>
  </si>
  <si>
    <t>JDK21-COMPATIBLE</t>
  </si>
  <si>
    <t>WLS12CCOMPATIBLE</t>
  </si>
  <si>
    <t>WLS14CCOMPATIBLE</t>
  </si>
  <si>
    <t>RISK</t>
  </si>
  <si>
    <t>JDKCOMPATIBILITYRULEHINT</t>
  </si>
  <si>
    <t>OPENREWRITE_RECEIPE</t>
  </si>
  <si>
    <t>TESTCASE_UNIT_NO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</si>
  <si>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</si>
  <si>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</si>
  <si>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</si>
  <si>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</si>
  <si>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</si>
  <si>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</si>
  <si>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</si>
  <si>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</si>
  <si>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</si>
  <si>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</si>
  <si>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</si>
  <si>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1-fpms</t>
  </si>
  <si>
    <t>a. UAT TRACK (BAU)</t>
  </si>
  <si>
    <t>PHASE 1</t>
  </si>
  <si>
    <t>BATCH 3</t>
  </si>
  <si>
    <t>SAFE works BOTH JDK (replace depreciated APIs)</t>
  </si>
  <si>
    <t>YES</t>
  </si>
  <si>
    <t>NO – REMOVED in JDK 11</t>
  </si>
  <si>
    <t>NO – must replace before deployment</t>
  </si>
  <si>
    <t>HIGH – blocks JDK 21</t>
  </si>
  <si>
    <t>Dual-Safe-SecurityUpdate</t>
  </si>
  <si>
    <t>MANDATORY – Replace with REST / RMI / messaging</t>
  </si>
  <si>
    <t>P001</t>
  </si>
  <si>
    <t>UT001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</si>
  <si>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</si>
  <si>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</si>
  <si>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</si>
  <si>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</si>
  <si>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</si>
  <si>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</si>
  <si>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</si>
  <si>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YES – via external jar (not bundled in JDK 21)</t>
  </si>
  <si>
    <t>YES – bundled by WLS 12c</t>
  </si>
  <si>
    <t>YES – via Jakarta Transactions 2.0</t>
  </si>
  <si>
    <t>LOW – safe after fix</t>
  </si>
  <si>
    <t>Dual-Semi</t>
  </si>
  <si>
    <t>ADD DEPENDENCY – Add jta-1.3.jar (Phase 1) or migrate to jakarta.transaction (Phase 2)</t>
  </si>
  <si>
    <t>P002</t>
  </si>
  <si>
    <t>UT002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</si>
  <si>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</si>
  <si>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</si>
  <si>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</si>
  <si>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</si>
  <si>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</si>
  <si>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</si>
  <si>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</si>
  <si>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</si>
  <si>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</si>
  <si>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</si>
  <si>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</si>
  <si>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REVIEW REQUIRED</t>
  </si>
  <si>
    <t>YES – baseline</t>
  </si>
  <si>
    <t>UNKNOWN – needs analysis</t>
  </si>
  <si>
    <t>Dual-Safe-Base64</t>
  </si>
  <si>
    <t>REVIEW – Analyze for compatibility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</si>
  <si>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</si>
  <si>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</si>
  <si>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</si>
  <si>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</si>
  <si>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</si>
  <si>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</si>
  <si>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</si>
  <si>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</si>
  <si>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</si>
  <si>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</si>
  <si>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</si>
  <si>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</si>
  <si>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</si>
  <si>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</si>
  <si>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</si>
  <si>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</si>
  <si>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</si>
  <si>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</si>
  <si>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</si>
  <si>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</si>
  <si>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</si>
  <si>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</si>
  <si>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</si>
  <si>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</si>
  <si>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</si>
  <si>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</si>
  <si>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</si>
  <si>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</si>
  <si>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</si>
  <si>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</si>
  <si>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</si>
  <si>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</si>
  <si>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BATCH 5</t>
  </si>
  <si>
    <t>YES – present but discouraged</t>
  </si>
  <si>
    <t>PARTIAL – DES/DESede may be disabled by security policy</t>
  </si>
  <si>
    <t>PARTIAL – depends on server security policy</t>
  </si>
  <si>
    <t>MEDIUM – needs validation</t>
  </si>
  <si>
    <t>MANDATORY – Replace with AES/ChaCha20; verify JDK 21 security policy</t>
  </si>
  <si>
    <t>P003</t>
  </si>
  <si>
    <t>UT003</t>
  </si>
  <si>
    <t>RC4</t>
  </si>
  <si>
    <t>(RC2|RC4)(?=\s*\))</t>
  </si>
  <si>
    <t>Use AES or modern algorithms</t>
  </si>
  <si>
    <t>YES – present but insecure</t>
  </si>
  <si>
    <t>PARTIAL – may be disabled by security policy</t>
  </si>
  <si>
    <t>P004</t>
  </si>
  <si>
    <t>UT004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</si>
  <si>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</si>
  <si>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</si>
  <si>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</si>
  <si>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</si>
  <si>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</si>
  <si>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YES – compiles; but MD5 restricted for security-sensitive use</t>
  </si>
  <si>
    <t>RECOMMENDED – Replace with SHA-256 / SHA-512</t>
  </si>
  <si>
    <t>P005</t>
  </si>
  <si>
    <t>UT005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</si>
  <si>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</si>
  <si>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</si>
  <si>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</si>
  <si>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</si>
  <si>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</si>
  <si>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</si>
  <si>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</si>
  <si>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</si>
  <si>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</si>
  <si>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</si>
  <si>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</si>
  <si>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</si>
  <si>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</si>
  <si>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YES – deprecated for removal; still compiles with warning</t>
  </si>
  <si>
    <t>Dual-Safe-ResourceMgmt</t>
  </si>
  <si>
    <t>RECOMMENDED – Replace with AutoCloseable / Cleaner API</t>
  </si>
  <si>
    <t>P006</t>
  </si>
  <si>
    <t>UT006</t>
  </si>
  <si>
    <t>Object.finalize() calls</t>
  </si>
  <si>
    <t>\.finalize\s*\(\s*\)</t>
  </si>
  <si>
    <t>Remove finalize calls; rely on proper resource management</t>
  </si>
  <si>
    <t>SAFE works BOTH JDK (deprecated for removal)</t>
  </si>
  <si>
    <t>YES – deprecated; still compiles with warning</t>
  </si>
  <si>
    <t>YES – works but deprecated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</si>
  <si>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</si>
  <si>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</si>
  <si>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</si>
  <si>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</si>
  <si>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</si>
  <si>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</si>
  <si>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</si>
  <si>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</si>
  <si>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</si>
  <si>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</si>
  <si>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</si>
  <si>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</si>
  <si>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BATCH 2</t>
  </si>
  <si>
    <t>YES – still present; migrate for best practice</t>
  </si>
  <si>
    <t>YES – still works; migrate for best practice</t>
  </si>
  <si>
    <t>Dual-Safe-JavaTime</t>
  </si>
  <si>
    <t>RECOMMENDED – Migrate to java.time (LocalDate, LocalDateTime, DateTimeFormatter)</t>
  </si>
  <si>
    <t>P007</t>
  </si>
  <si>
    <t>UT007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</si>
  <si>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</si>
  <si>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</si>
  <si>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</si>
  <si>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</si>
  <si>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</si>
  <si>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YES – still present; migrate for thread-safety</t>
  </si>
  <si>
    <t>YES – still works; migrate for thread-safety</t>
  </si>
  <si>
    <t>P008</t>
  </si>
  <si>
    <t>UT008</t>
  </si>
  <si>
    <t>Calendar</t>
  </si>
  <si>
    <t>goo</t>
  </si>
  <si>
    <t>Calendar\.getInstance\s*\(</t>
  </si>
  <si>
    <t>Use LocalDateTime or ZonedDateTime</t>
  </si>
  <si>
    <t>P009</t>
  </si>
  <si>
    <t>UT009</t>
  </si>
  <si>
    <t>Timestamp</t>
  </si>
  <si>
    <t>java.sql.Date/Time/Timestamp</t>
  </si>
  <si>
    <t>java\.sql\.(Date|Time|Timestamp)</t>
  </si>
  <si>
    <t>Use java.time API</t>
  </si>
  <si>
    <t>P010</t>
  </si>
  <si>
    <t>UT010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</si>
  <si>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</si>
  <si>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</si>
  <si>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</si>
  <si>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</si>
  <si>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</si>
  <si>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</si>
  <si>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</si>
  <si>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</si>
  <si>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BATCH 4</t>
  </si>
  <si>
    <t>YES – compiles with unchecked warnings</t>
  </si>
  <si>
    <t>Dual-Safe-Language</t>
  </si>
  <si>
    <t>RECOMMENDED – Add generics for type safety</t>
  </si>
  <si>
    <t>P011</t>
  </si>
  <si>
    <t>UT011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</si>
  <si>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</si>
  <si>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</si>
  <si>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</si>
  <si>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</si>
  <si>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</si>
  <si>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</si>
  <si>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</si>
  <si>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</si>
  <si>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BATCH 1</t>
  </si>
  <si>
    <t>NO - compile error</t>
  </si>
  <si>
    <t>NO – must fix first</t>
  </si>
  <si>
    <t>MANDATORY – Rename _ identifier to valid name (e.g. unused, ignored)</t>
  </si>
  <si>
    <t>P012</t>
  </si>
  <si>
    <t>UT012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</si>
  <si>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</si>
  <si>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</si>
  <si>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</si>
  <si>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</si>
  <si>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P013</t>
  </si>
  <si>
    <t>UT013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</si>
  <si>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</si>
  <si>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</si>
  <si>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</si>
  <si>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</si>
  <si>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</si>
  <si>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</si>
  <si>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</si>
  <si>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</si>
  <si>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Â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</si>
  <si>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</si>
  <si>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</si>
  <si>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</si>
  <si>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b. NEW JDK TRACK</t>
  </si>
  <si>
    <t>PHASE 2</t>
  </si>
  <si>
    <t>NOT-SAFE works ONLY JDK21 (change to new API and/or new JAR in src)</t>
  </si>
  <si>
    <t>YES – present but deprecated since JDK 17</t>
  </si>
  <si>
    <t>NO – REMOVED in JDK 21 (JEP 486)</t>
  </si>
  <si>
    <t>YES – SecurityManager functional on WLS 12c / JDK 8</t>
  </si>
  <si>
    <t>NO – SecurityManager REMOVED; application fails at startup if used</t>
  </si>
  <si>
    <t>HIGH – Breaking change; must fix before JDK 21</t>
  </si>
  <si>
    <t>Dual-RemovedFeature</t>
  </si>
  <si>
    <t>MANDATORY MIGRATION – Replace/refactor before WLS 14c</t>
  </si>
  <si>
    <t>P014</t>
  </si>
  <si>
    <t>UT014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</si>
  <si>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</si>
  <si>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</si>
  <si>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</si>
  <si>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</si>
  <si>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</si>
  <si>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</si>
  <si>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</si>
  <si>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</si>
  <si>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</si>
  <si>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</si>
  <si>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</si>
  <si>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</si>
  <si>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</si>
  <si>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</si>
  <si>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</si>
  <si>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</si>
  <si>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</si>
  <si>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</si>
  <si>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</si>
  <si>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</si>
  <si>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</si>
  <si>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PARTIAL – blocked by module system without --add-opens</t>
  </si>
  <si>
    <t>PARTIAL – may fail at runtime without module opens</t>
  </si>
  <si>
    <t>REVIEW – Replace with MethodHandles or configure --add-opens</t>
  </si>
  <si>
    <t>P015</t>
  </si>
  <si>
    <t>UT015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</si>
  <si>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</si>
  <si>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</si>
  <si>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</si>
  <si>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</si>
  <si>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</si>
  <si>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</si>
  <si>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</si>
  <si>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</si>
  <si>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</si>
  <si>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</si>
  <si>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</si>
  <si>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</si>
  <si>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</si>
  <si>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</si>
  <si>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</si>
  <si>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</si>
  <si>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YES – scriptlets work on JDK 8 / Struts 1.1 / WLS 12c</t>
  </si>
  <si>
    <t>PARTIAL – scriptlets compile on JDK 21 but embed Java 8 idioms that may fail</t>
  </si>
  <si>
    <t>YES – JSP scriptlets fully supported on WLS 12c Java EE 8</t>
  </si>
  <si>
    <t>PARTIAL – WLS 14c Jakarta EE 10 JSP engine supports scriptlets BUT embedded JDK 8 API calls (e.g. sun.*, removed APIs) inside scriptlets will fail at runtime</t>
  </si>
  <si>
    <t>CRITICAL – High volume + breaking change</t>
  </si>
  <si>
    <t>P016</t>
  </si>
  <si>
    <t>UT016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</si>
  <si>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</si>
  <si>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</si>
  <si>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</si>
  <si>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</si>
  <si>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</si>
  <si>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YES - after fix</t>
  </si>
  <si>
    <t>LOW - safe after fix</t>
  </si>
  <si>
    <t>Dual-Safe-InternalAPI</t>
  </si>
  <si>
    <t>MANDATORY – Replace sun.* with java.util.Base64 / java.nio / supported APIs</t>
  </si>
  <si>
    <t>P017</t>
  </si>
  <si>
    <t>UT017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</si>
  <si>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</si>
  <si>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</si>
  <si>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</si>
  <si>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</si>
  <si>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</si>
  <si>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</si>
  <si>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</si>
  <si>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</si>
  <si>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</si>
  <si>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</si>
  <si>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</si>
  <si>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</si>
  <si>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P018</t>
  </si>
  <si>
    <t>UT018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</si>
  <si>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</si>
  <si>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</si>
  <si>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</si>
  <si>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</si>
  <si>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</si>
  <si>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</si>
  <si>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</si>
  <si>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</si>
  <si>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YES – runs on JDK 8 but EOL with critical CVEs</t>
  </si>
  <si>
    <t>NO – Log4j 1.x is incompatible with JDK 21 at runtime</t>
  </si>
  <si>
    <t>YES – runs but CRITICAL SECURITY RISK (CVE-2019-17571 RCE)</t>
  </si>
  <si>
    <t>NO – Log4j 1.x fails at runtime on WLS 14c / JDK 21</t>
  </si>
  <si>
    <t>P019</t>
  </si>
  <si>
    <t>UT019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</si>
  <si>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</si>
  <si>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</si>
  <si>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</si>
  <si>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</si>
  <si>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</si>
  <si>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</si>
  <si>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</si>
  <si>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</si>
  <si>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</si>
  <si>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</si>
  <si>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SAFE works BOTH JDK (security restricted)</t>
  </si>
  <si>
    <t>YES – present but weak</t>
  </si>
  <si>
    <t>YES – compiles; restricted for security-sensitive use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</si>
  <si>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</si>
  <si>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</si>
  <si>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</si>
  <si>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</si>
  <si>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</si>
  <si>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</si>
  <si>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</si>
  <si>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BATCH 6</t>
  </si>
  <si>
    <t>YES – bundled in JDK 8</t>
  </si>
  <si>
    <t>YES – via external JAR (jaxb-api 2.3.x + jaxb-runtime 2.3.x)</t>
  </si>
  <si>
    <t>YES – via external JAR in lib/</t>
  </si>
  <si>
    <t>Dual-Safe-JavaEE-Externalize</t>
  </si>
  <si>
    <t>ADD DEPENDENCY – Phase 1: add jaxb-api-2.3.1.jar; Phase 2: migrate to jakarta.xml.bind</t>
  </si>
  <si>
    <t>P020</t>
  </si>
  <si>
    <t>UT020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</si>
  <si>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</si>
  <si>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</si>
  <si>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</si>
  <si>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</si>
  <si>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</si>
  <si>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</si>
  <si>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</si>
  <si>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</si>
  <si>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</si>
  <si>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</si>
  <si>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</si>
  <si>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</si>
  <si>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</si>
  <si>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</si>
  <si>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</si>
  <si>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P021</t>
  </si>
  <si>
    <t>UT021</t>
  </si>
  <si>
    <t>JAXB annotations in models</t>
  </si>
  <si>
    <t>Move javax.xml.bind.annotation.* to Jakarta.</t>
  </si>
  <si>
    <t>\bjavax\.xml\.bind\.annotation\.</t>
  </si>
  <si>
    <t>YES – via external JAR (jaxb-api 2.3.x)</t>
  </si>
  <si>
    <t>P022</t>
  </si>
  <si>
    <t>UT022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</si>
  <si>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</si>
  <si>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</si>
  <si>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</si>
  <si>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</si>
  <si>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</si>
  <si>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</si>
  <si>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</si>
  <si>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</si>
  <si>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</si>
  <si>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GE INTERNAL JAR (to discuss with ge team to provide new JAR works on both JDK or only JDK21)</t>
  </si>
  <si>
    <t>YES – aacm.jar (IBM Tivoli Access Manager) runs on JDK 8</t>
  </si>
  <si>
    <t>UNKNOWN – IBM TAM client not validated on JDK 21; verify with vendor</t>
  </si>
  <si>
    <t>YES – IBM TAM SSO integration runs on WLS 12c / JDK 8</t>
  </si>
  <si>
    <t>UNKNOWN – IBM TAM compatibility with WLS 14c / JDK 21 requires vendor confirmation</t>
  </si>
  <si>
    <t>HIGH – Blocked on GE team delivery</t>
  </si>
  <si>
    <t>Dual-Review</t>
  </si>
  <si>
    <t>ENGAGE GE TEAM – Request JDK 21 compatible aacm.jar</t>
  </si>
  <si>
    <t>P023</t>
  </si>
  <si>
    <t>UT023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</si>
  <si>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</si>
  <si>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</si>
  <si>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</si>
  <si>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REVIEW REQUIRED – validate JAR version</t>
  </si>
  <si>
    <t>YES – current version works</t>
  </si>
  <si>
    <t>UNKNOWN – depends on JAR version</t>
  </si>
  <si>
    <t>UNKNOWN – validate JAR version</t>
  </si>
  <si>
    <t>REMOVE – Avalon Framework is obsolete (EOL 2004); migrate to SLF4J or alternative DI framework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</si>
  <si>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</si>
  <si>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</si>
  <si>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</si>
  <si>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BATCH 9</t>
  </si>
  <si>
    <t>YES – runs on JDK 8</t>
  </si>
  <si>
    <t>NO – backport library redundant and incompatible with JDK 21</t>
  </si>
  <si>
    <t>NO – remove; use java.util.concurrent directly</t>
  </si>
  <si>
    <t>REMOVE – Replace with java.util.concurrent (JDK built-in since Java 5)</t>
  </si>
  <si>
    <t>P024</t>
  </si>
  <si>
    <t>UT024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</si>
  <si>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</si>
  <si>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</si>
  <si>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</si>
  <si>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</si>
  <si>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UPGRADE to batik-all-1.17.jar (JDK 8-21 compatible)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</si>
  <si>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</si>
  <si>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</si>
  <si>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</si>
  <si>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</si>
  <si>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</si>
  <si>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</si>
  <si>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</si>
  <si>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MEDIUM – needs version check</t>
  </si>
  <si>
    <t>Dual-Crypto</t>
  </si>
  <si>
    <t>VALIDATE – bcpkix-jdk18on-1.76.jar should work; if issues upgrade to bcpkix-jdk18on-1.78.jar</t>
  </si>
  <si>
    <t>P025</t>
  </si>
  <si>
    <t>UT025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</si>
  <si>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</si>
  <si>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</si>
  <si>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UPGRADE to bcprov-jdk18on-1.78.jar (JDK 8-21 compatible; replace JDK14 version)</t>
  </si>
  <si>
    <t>P026</t>
  </si>
  <si>
    <t>UT026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</si>
  <si>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</si>
  <si>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</si>
  <si>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</si>
  <si>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UPGRADE to bsh-2.1.1.jar (JDK 8-21 compatible)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</si>
  <si>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</si>
  <si>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</si>
  <si>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</si>
  <si>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SAFE works BOTH JDK (able to Compile - to verify New JAR &amp; API ?)</t>
  </si>
  <si>
    <t>YES – Castor 0.9.9.1 runs on JDK 8; replacement jackson-dataformat-xml also runs on JDK 8</t>
  </si>
  <si>
    <t>YES – after replacing with jackson-dataformat-xml:2.17.0 (JDK 21 compatible)</t>
  </si>
  <si>
    <t>YES – both current Castor and replacement JAR work on WLS 12c</t>
  </si>
  <si>
    <t>YES – jackson-dataformat-xml:2.17.0 is compatible with WLS 14c / JDK 21</t>
  </si>
  <si>
    <t>MEDIUM – Safe after JAR upgrade</t>
  </si>
  <si>
    <t>UPGRADE JAR – Replace with jackson-dataformat-xml-2.17.0.jar</t>
  </si>
  <si>
    <t>P027</t>
  </si>
  <si>
    <t>UT027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</si>
  <si>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</si>
  <si>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</si>
  <si>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</si>
  <si>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UPGRADE to cglib-3.3.0.jar (JDK 8-21 compatible)</t>
  </si>
  <si>
    <t>P028</t>
  </si>
  <si>
    <t>UT028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</si>
  <si>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</si>
  <si>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</si>
  <si>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</si>
  <si>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</si>
  <si>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</si>
  <si>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</si>
  <si>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YES – runs on JDK 8 (Oracle JDBC thin driver)</t>
  </si>
  <si>
    <t>NO – classes12.jar is Oracle 8i/9i era; incompatible with JDK 21</t>
  </si>
  <si>
    <t>NO – replace with ojdbc8.jar or ojdbc11.jar</t>
  </si>
  <si>
    <t>Dual-JDBC-Upgrade</t>
  </si>
  <si>
    <t>MANDATORY UPGRADE to ojdbc8.jar or ojdbc11.jar (classes12.jar is Oracle 8i era, incompatible with JDK 21)</t>
  </si>
  <si>
    <t>P029</t>
  </si>
  <si>
    <t>UT029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</si>
  <si>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</si>
  <si>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</si>
  <si>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</si>
  <si>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UPGRADE to com.ibm.mq.allclient-9.3.x.jar (JDK 8-21 compatible)</t>
  </si>
  <si>
    <t>P030</t>
  </si>
  <si>
    <t>UT030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</si>
  <si>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</si>
  <si>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</si>
  <si>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UPGRADE to com.ibm.mq.allclient-9.3.x.jar (replaces mqbind.jar)</t>
  </si>
  <si>
    <t>P031</t>
  </si>
  <si>
    <t>UT031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</si>
  <si>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</si>
  <si>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</si>
  <si>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UPGRADE to com.ibm.mq.allclient-9.3.x.jar (replaces mqjms.jar)</t>
  </si>
  <si>
    <t>P032</t>
  </si>
  <si>
    <t>UT032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</si>
  <si>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</si>
  <si>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</si>
  <si>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</si>
  <si>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UPGRADE to commons-beanutils-1.9.4.jar (JDK 8-21 compatible)</t>
  </si>
  <si>
    <t>P033</t>
  </si>
  <si>
    <t>UT033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</si>
  <si>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</si>
  <si>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</si>
  <si>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</si>
  <si>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</si>
  <si>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</si>
  <si>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</si>
  <si>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BATCH 7</t>
  </si>
  <si>
    <t>YES – compiles with existing alpha JAR</t>
  </si>
  <si>
    <t>UNKNOWN – alpha/pre-release JAR untested on JDK 21</t>
  </si>
  <si>
    <t>YES – existing JAR works on WLS 12c / JDK 8</t>
  </si>
  <si>
    <t>UNKNOWN – alpha JAR may have JDK 21 runtime incompatibilities</t>
  </si>
  <si>
    <t>Dual-Replace-PreRelease</t>
  </si>
  <si>
    <t>MANDATORY – Replace with stable maintained release</t>
  </si>
  <si>
    <t>P034</t>
  </si>
  <si>
    <t>UT034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</si>
  <si>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</si>
  <si>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</si>
  <si>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UPGRADE to commons-codec-1.17.1.jar (JDK 8-21 compatible)</t>
  </si>
  <si>
    <t>P035</t>
  </si>
  <si>
    <t>UT035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</si>
  <si>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</si>
  <si>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</si>
  <si>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UPGRADE to commons-collections4-4.4.jar (JDK 8-21 compatible)</t>
  </si>
  <si>
    <t>P036</t>
  </si>
  <si>
    <t>UT036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</si>
  <si>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</si>
  <si>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</si>
  <si>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UPGRADE to commons-dbcp2-2.12.0.jar (JDK 8-21 compatible)</t>
  </si>
  <si>
    <t>P037</t>
  </si>
  <si>
    <t>UT037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</si>
  <si>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</si>
  <si>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</si>
  <si>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UPGRADE to commons-dbutils-1.8.1.jar (JDK 8-21 compatible)</t>
  </si>
  <si>
    <t>P038</t>
  </si>
  <si>
    <t>UT038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</si>
  <si>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</si>
  <si>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</si>
  <si>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UPGRADE to commons-digester3-3.2.jar (JDK 8-21 compatible)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</si>
  <si>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</si>
  <si>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</si>
  <si>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UPGRADE to commons-fileupload2-2.0.0-M2.jar (JDK 8-21 compatible) OR migrate to Jakarta Servlet FileUpload</t>
  </si>
  <si>
    <t>P039</t>
  </si>
  <si>
    <t>UT039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</si>
  <si>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</si>
  <si>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</si>
  <si>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</si>
  <si>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</si>
  <si>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</si>
  <si>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</si>
  <si>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NO – incompatible</t>
  </si>
  <si>
    <t>NO – replace with HttpClient 4.5.x or 5.x</t>
  </si>
  <si>
    <t>Dual-HttpClient-Refactor</t>
  </si>
  <si>
    <t>MANDATORY – Upgrade to HttpClient 4.5.14 or 5.x</t>
  </si>
  <si>
    <t>P040</t>
  </si>
  <si>
    <t>UT040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</si>
  <si>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</si>
  <si>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</si>
  <si>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UPGRADE to commons-lang3-3.17.0.jar (JDK 8-21 compatible; note: package changes to org.apache.commons.lang3)</t>
  </si>
  <si>
    <t>P041</t>
  </si>
  <si>
    <t>UT041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</si>
  <si>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</si>
  <si>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</si>
  <si>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</si>
  <si>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REPLACE with SLF4J 2.0.x + Logback 1.4.x (commons-logging is maintenance mode)</t>
  </si>
  <si>
    <t>P042</t>
  </si>
  <si>
    <t>UT042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</si>
  <si>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</si>
  <si>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</si>
  <si>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YES – alpha JAR runs on JDK 8</t>
  </si>
  <si>
    <t>UNKNOWN – alpha JAR untested on JDK 21</t>
  </si>
  <si>
    <t>UNKNOWN – needs validation</t>
  </si>
  <si>
    <t>P043</t>
  </si>
  <si>
    <t>UT043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</si>
  <si>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</si>
  <si>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</si>
  <si>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UPGRADE to commons-net-3.11.1.jar (JDK 8-21 compatible)</t>
  </si>
  <si>
    <t>P044</t>
  </si>
  <si>
    <t>UT044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</si>
  <si>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</si>
  <si>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</si>
  <si>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UPGRADE to commons-pool2-2.12.0.jar (JDK 8-21 compatible)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</si>
  <si>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</si>
  <si>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</si>
  <si>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UPGRADE to commons-validator-1.9.0.jar (JDK 8-21 compatible)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</si>
  <si>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</si>
  <si>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</si>
  <si>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YES – EDU.oswego runs on JDK 8 but is redundant since JDK 5</t>
  </si>
  <si>
    <t>NO – EDU.oswego concurrent.jar fails on JDK 21 module system</t>
  </si>
  <si>
    <t>YES – runs but causes classpath conflicts with java.util.concurrent</t>
  </si>
  <si>
    <t>NO – must remove; replace with java.util.concurrent</t>
  </si>
  <si>
    <t>P045</t>
  </si>
  <si>
    <t>UT045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</si>
  <si>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</si>
  <si>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</si>
  <si>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</si>
  <si>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UPGRADE to core-3.5.3.jar (JDK 8-21 compatible)</t>
  </si>
  <si>
    <t>P046</t>
  </si>
  <si>
    <t>UT046</t>
  </si>
  <si>
    <t>THIRD-PARTY (UPLOAD jar)</t>
  </si>
  <si>
    <t>cos.jar</t>
  </si>
  <si>
    <t>REMOVE – COS (com.oreilly.servlet) is obsolete; migrate to commons-fileupload2-2.0.0-M2.jar or Jakarta Servlet FileUpload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</si>
  <si>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</si>
  <si>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</si>
  <si>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</si>
  <si>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REVIEW – dhbcore.jar identity unknown; validate vendor and obtain JDK 21 compatible version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</si>
  <si>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</si>
  <si>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</si>
  <si>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</si>
  <si>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PARTIAL – conflicts with JDK JAXP</t>
  </si>
  <si>
    <t>PARTIAL – may conflict with WLS 14c JAXP</t>
  </si>
  <si>
    <t>MEDIUM – XML stack conflicts</t>
  </si>
  <si>
    <t>REVIEW – Remove bundled XML JARs; use JDK JAXP</t>
  </si>
  <si>
    <t>P047</t>
  </si>
  <si>
    <t>UT047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</si>
  <si>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</si>
  <si>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</si>
  <si>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UPGRADE to eddsa-0.3.0.jar (already latest; validate JDK 21 compatibility) OR migrate to JDK 15+ built-in EdDSA support</t>
  </si>
  <si>
    <t>EDU.jar</t>
  </si>
  <si>
    <t>YES – EDU.jar runs on JDK 8 (same EDU.oswego library)</t>
  </si>
  <si>
    <t>NO – incompatible with JDK 21 module system</t>
  </si>
  <si>
    <t>YES – loads but redundant with java.util.concurrent</t>
  </si>
  <si>
    <t>P048</t>
  </si>
  <si>
    <t>UT048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</si>
  <si>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</si>
  <si>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</si>
  <si>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</si>
  <si>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UPGRADE to ehcache-3.10.8.jar (JDK 8-21 compatible; major version upgrade from 0.9)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</si>
  <si>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</si>
  <si>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</si>
  <si>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</si>
  <si>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UPGRADE to fop-2.9.jar (JDK 8-21 compatible)</t>
  </si>
  <si>
    <t>P049</t>
  </si>
  <si>
    <t>UT049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</si>
  <si>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</si>
  <si>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</si>
  <si>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</si>
  <si>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YES – framework-1.3.2 (ICF) runs on JDK 8</t>
  </si>
  <si>
    <t>YES – after upgrading to framework-1.4.2.jar</t>
  </si>
  <si>
    <t>YES – Identity Connector Framework works on WLS 12c</t>
  </si>
  <si>
    <t>YES – framework-1.4.2.jar is compatible with WLS 14c / JDK 21</t>
  </si>
  <si>
    <t>UPGRADE JAR – Replace with framework-1.4.2.jar</t>
  </si>
  <si>
    <t>P050</t>
  </si>
  <si>
    <t>UT050</t>
  </si>
  <si>
    <t>THIRD-PARTY (JNDI jar)</t>
  </si>
  <si>
    <t>fscontext.jar</t>
  </si>
  <si>
    <t>REVIEW – fscontext.jar (JNDI file system provider); if needed upgrade to fscontext-5.0.0.jar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</si>
  <si>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</si>
  <si>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</si>
  <si>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</si>
  <si>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YES – gel_ciom.jar (com.ebao.ls.ih.eai.*) runs on JDK 8 / WLS 12c</t>
  </si>
  <si>
    <t>UNKNOWN – GE internal JAR; JDK 21 compatibility depends on internal build</t>
  </si>
  <si>
    <t>YES – active integration JAR on WLS 12c</t>
  </si>
  <si>
    <t>UNKNOWN – GE team must provide JDK 21 / WLS 14c compatible build</t>
  </si>
  <si>
    <t>ENGAGE GE TEAM – Request JDK 21 compatible gel_ciom.jar</t>
  </si>
  <si>
    <t>P051</t>
  </si>
  <si>
    <t>UT051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</si>
  <si>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</si>
  <si>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</si>
  <si>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YES – gel_epay_online.jar runs on JDK 8 / WLS 12c</t>
  </si>
  <si>
    <t>YES – active e-payment integration JAR on WLS 12c</t>
  </si>
  <si>
    <t>ENGAGE GE TEAM – Request JDK 21 compatible gel_epay_online.jar</t>
  </si>
  <si>
    <t>P052</t>
  </si>
  <si>
    <t>UT052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</si>
  <si>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</si>
  <si>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</si>
  <si>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</si>
  <si>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YES – Hibernate 2.x runs on JDK 8</t>
  </si>
  <si>
    <t>NO – Hibernate 2.x incompatible with JDK 21; package net.sf.hibernate.* renamed</t>
  </si>
  <si>
    <t>YES – Hibernate 2.x works on WLS 12c / JDK 8</t>
  </si>
  <si>
    <t>NO – must replace with Hibernate 6.1 + Jakarta Persistence before WLS 14c</t>
  </si>
  <si>
    <t>P053</t>
  </si>
  <si>
    <t>UT053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</si>
  <si>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</si>
  <si>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</si>
  <si>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</si>
  <si>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YES – Apache HttpClient 3.x / 4.x runs on JDK 8</t>
  </si>
  <si>
    <t>PARTIAL – HttpClient 4.5.x runs on JDK 21; HttpClient 3.x does NOT</t>
  </si>
  <si>
    <t>YES – httpclient JAR works on WLS 12c classpath</t>
  </si>
  <si>
    <t>PARTIAL – HttpClient 4.5.x works on WLS 14c; older 3.x API will fail</t>
  </si>
  <si>
    <t>P054</t>
  </si>
  <si>
    <t>UT054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</si>
  <si>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</si>
  <si>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</si>
  <si>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UPGRADE to httpcore-4.4.16.jar (JDK 8-21 compatible) OR httpcore5-5.2.x for HTTP/2 support</t>
  </si>
  <si>
    <t>P055</t>
  </si>
  <si>
    <t>UT055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</si>
  <si>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</si>
  <si>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</si>
  <si>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YES – FIPS provider works on JDK 8</t>
  </si>
  <si>
    <t>NO – ibmjcefips is IBM J9 JVM specific; not compatible with Oracle JDK 21</t>
  </si>
  <si>
    <t>YES – if running IBM JDK 8</t>
  </si>
  <si>
    <t>NO – replace with bc-fips for Oracle JDK 21</t>
  </si>
  <si>
    <t>REPLACE with bc-fips-1.0.2.5.jar + bctls-fips-1.0.19.jar (IBM JCE FIPS is IBM J9 specific; use BouncyCastle FIPS for Oracle JDK 21)</t>
  </si>
  <si>
    <t>P056</t>
  </si>
  <si>
    <t>UT056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</si>
  <si>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</si>
  <si>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</si>
  <si>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P057</t>
  </si>
  <si>
    <t>UT057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</si>
  <si>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</si>
  <si>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</si>
  <si>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REPLACE with JDK 21 built-in JSSE provider OR bc-fips-1.0.2.5.jar + bctls-fips-1.0.19.jar (IBM JSSE is IBM J9 specific)</t>
  </si>
  <si>
    <t>P058</t>
  </si>
  <si>
    <t>UT058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</si>
  <si>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</si>
  <si>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</si>
  <si>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</si>
  <si>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UPGRADE to itext7-core-8.0.5 (JDK 8-21 compatible) – WARNING: iText 5+ has licensing changes; review AGPL license or use OpenPDF as LGPL alternative</t>
  </si>
  <si>
    <t>P059</t>
  </si>
  <si>
    <t>UT059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</si>
  <si>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</si>
  <si>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</si>
  <si>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</si>
  <si>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</si>
  <si>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</si>
  <si>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</si>
  <si>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YES – after upgrade to 2.15+</t>
  </si>
  <si>
    <t>Dual-Jackson</t>
  </si>
  <si>
    <t>UPGRADE – Upgrade all Jackson modules to 2.17.0</t>
  </si>
  <si>
    <t>P060</t>
  </si>
  <si>
    <t>UT060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</si>
  <si>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</si>
  <si>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</si>
  <si>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P061</t>
  </si>
  <si>
    <t>UT061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</si>
  <si>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</si>
  <si>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</si>
  <si>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P062</t>
  </si>
  <si>
    <t>UT062</t>
  </si>
  <si>
    <t>jackson-databind-2.8.8.jar</t>
  </si>
  <si>
    <t>P063</t>
  </si>
  <si>
    <t>UT063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</si>
  <si>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</si>
  <si>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</si>
  <si>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</si>
  <si>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REMOVE – jakarta-oro is obsolete; use JDK java.util.regex.Pattern (built-in)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</si>
  <si>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</si>
  <si>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</si>
  <si>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</si>
  <si>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YES – javacsv.jar (com.csvreader.*) runs on JDK 8</t>
  </si>
  <si>
    <t>NO – javacsv.jar is unmaintained and fails on JDK 21</t>
  </si>
  <si>
    <t>YES – works on WLS 12c classpath</t>
  </si>
  <si>
    <t>NO – replace with OpenCSV or Apache Commons CSV before WLS 14c</t>
  </si>
  <si>
    <t>P064</t>
  </si>
  <si>
    <t>UT064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</si>
  <si>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</si>
  <si>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</si>
  <si>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UPGRADE to javase-3.5.3.jar (JDK 8-21 compatible; matches core version)</t>
  </si>
  <si>
    <t>P065</t>
  </si>
  <si>
    <t>UT065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</si>
  <si>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</si>
  <si>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</si>
  <si>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</si>
  <si>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UPGRADE to jaxen-2.0.0.jar (JDK 8-21 compatible)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</si>
  <si>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</si>
  <si>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</si>
  <si>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</si>
  <si>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UPGRADE to jaxen-2.0.0.jar (replaces jaxen-jdom; now unified)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</si>
  <si>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</si>
  <si>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</si>
  <si>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YES – jcommon-0.9.5 runs on JDK 8 alongside old JFreeChart</t>
  </si>
  <si>
    <t>YES – after upgrading to JFreeChart 1.5.1 which replaces jcommon</t>
  </si>
  <si>
    <t>YES – old jcommon works on WLS 12c</t>
  </si>
  <si>
    <t>YES – JFreeChart 1.5.1 is compatible with WLS 14c / JDK 21</t>
  </si>
  <si>
    <t>UPGRADE JAR – Replace with JFreeChart 1.5.1</t>
  </si>
  <si>
    <t>P066</t>
  </si>
  <si>
    <t>UT066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</si>
  <si>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</si>
  <si>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</si>
  <si>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REVIEW – jcprov.jar identity unclear; if BouncyCastle variant upgrade to bcprov-jdk18on-1.78.jar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</si>
  <si>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</si>
  <si>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</si>
  <si>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</si>
  <si>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YES – old jcraft.jar runs on JDK 8</t>
  </si>
  <si>
    <t>YES – after upgrading to jsch-0.2.17 (JDK 21 compatible)</t>
  </si>
  <si>
    <t>YES – old jcraft.jar works on WLS 12c</t>
  </si>
  <si>
    <t>YES – jsch-0.2.17 is compatible with WLS 14c / JDK 21</t>
  </si>
  <si>
    <t>UPGRADE JAR – Replace with jsch-0.2.17</t>
  </si>
  <si>
    <t>P067</t>
  </si>
  <si>
    <t>UT067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</si>
  <si>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</si>
  <si>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</si>
  <si>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UPGRADE to jdom-2.0.6.1.jar (JDK 8-21 compatible)</t>
  </si>
  <si>
    <t>P068</t>
  </si>
  <si>
    <t>UT068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</si>
  <si>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</si>
  <si>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</si>
  <si>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</si>
  <si>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UPGRADE to jfreechart-1.5.5.jar (JDK 8-21 compatible)</t>
  </si>
  <si>
    <t>P069</t>
  </si>
  <si>
    <t>UT069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</si>
  <si>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</si>
  <si>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</si>
  <si>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</si>
  <si>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YES – jftp.jar runs on JDK 8 / WLS 12c</t>
  </si>
  <si>
    <t>NO – jftp.jar bundles j2ssh and log4j 1.x which both fail on JDK 21</t>
  </si>
  <si>
    <t>YES – runs on WLS 12c</t>
  </si>
  <si>
    <t>NO – must replace before WLS 14c; bundled log4j 1.x and j2ssh incompatible</t>
  </si>
  <si>
    <t>P070</t>
  </si>
  <si>
    <t>UT070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</si>
  <si>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</si>
  <si>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</si>
  <si>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</si>
  <si>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YES – org.json bundled JAR runs on JDK 8</t>
  </si>
  <si>
    <t>YES – after upgrading to org.json:20240303 or Jackson 2.15+</t>
  </si>
  <si>
    <t>YES – works on WLS 12c</t>
  </si>
  <si>
    <t>YES – org.json:20240303 is compatible with WLS 14c / JDK 21</t>
  </si>
  <si>
    <t>UPGRADE JAR – Replace with org.json:json library OR JACKSON</t>
  </si>
  <si>
    <t>P071</t>
  </si>
  <si>
    <t>UT071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</si>
  <si>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</si>
  <si>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</si>
  <si>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UPGRADE to jt400-20.0.6.jar (JDK 8-21 compatible)</t>
  </si>
  <si>
    <t>P072</t>
  </si>
  <si>
    <t>UT072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</si>
  <si>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</si>
  <si>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</si>
  <si>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</si>
  <si>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YES – JUnit 3.x/4.x in junit.jar runs on JDK 8</t>
  </si>
  <si>
    <t>YES – JUnit 5 is compatible with JDK 21; JUnit 4 also works on JDK 21</t>
  </si>
  <si>
    <t>YES – test JAR; not deployed to WLS server</t>
  </si>
  <si>
    <t>UPGRADE JAR – Replace with JUnit 5</t>
  </si>
  <si>
    <t>P073</t>
  </si>
  <si>
    <t>UT073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</si>
  <si>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</si>
  <si>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</si>
  <si>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</si>
  <si>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YES – jxl.jar runs on JDK 8</t>
  </si>
  <si>
    <t>YES – after replacing with Apache POI 5.x (JDK 21 compatible)</t>
  </si>
  <si>
    <t>YES – jxl.jar works on WLS 12c; Apache POI also works</t>
  </si>
  <si>
    <t>YES – Apache POI 5.2.x is compatible with WLS 14c / JDK 21</t>
  </si>
  <si>
    <t>UPGRADE JAR – Replace with poi + poi-ooxml</t>
  </si>
  <si>
    <t>P074</t>
  </si>
  <si>
    <t>UT074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</si>
  <si>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</si>
  <si>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</si>
  <si>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</si>
  <si>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</si>
  <si>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</si>
  <si>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</si>
  <si>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BATCH 8</t>
  </si>
  <si>
    <t>YES – runs on JDK 8 but EOL and CVE-affected</t>
  </si>
  <si>
    <t>NO – Log4j 1.x fails on JDK 21 at runtime</t>
  </si>
  <si>
    <t>YES – runs but SECURITY RISK (EOL, CVE-2019-17571)</t>
  </si>
  <si>
    <t>NO – must migrate to Log4j2 or SLF4J/Logback before WLS 14c</t>
  </si>
  <si>
    <t>Dual-Log4jMigration</t>
  </si>
  <si>
    <t>MANDATORY – Migrate to Log4j2 2.20+ or SLF4J+Logback</t>
  </si>
  <si>
    <t>P075</t>
  </si>
  <si>
    <t>UT075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</si>
  <si>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</si>
  <si>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</si>
  <si>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</si>
  <si>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</si>
  <si>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</si>
  <si>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</si>
  <si>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</si>
  <si>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VALIDATE – log4j-api-2.17.1.jar works on JDK 21; recommend upgrade to log4j-api-2.24.3.jar for latest security fixes</t>
  </si>
  <si>
    <t>P076</t>
  </si>
  <si>
    <t>UT076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</si>
  <si>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</si>
  <si>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</si>
  <si>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VALIDATE – log4j-core-2.17.1.jar works on JDK 21; recommend upgrade to log4j-core-2.24.3.jar for latest security fixes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</si>
  <si>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</si>
  <si>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</si>
  <si>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NO – incompatible with JDK 21 TLS/SSL stack</t>
  </si>
  <si>
    <t>NO – replace before WLS 14c deployment</t>
  </si>
  <si>
    <t>REPLACE with Apache HttpClient 5.x or use JDK javax.net.ssl.SSLContext (not-yet-commons-ssl is obsolete)</t>
  </si>
  <si>
    <t>P077</t>
  </si>
  <si>
    <t>UT077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</si>
  <si>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</si>
  <si>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</si>
  <si>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</si>
  <si>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</si>
  <si>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</si>
  <si>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YES – OC4J APIs technically callable on JDK 8 classpath</t>
  </si>
  <si>
    <t>NO – OC4J is obsolete, no JDK 21 support exists</t>
  </si>
  <si>
    <t>PARTIAL – OC4J JARs in WLS 12c lib/ may conflict; OC4J server not supported alongside WLS</t>
  </si>
  <si>
    <t>NO – OC4J completely unsupported on WLS 14c / JDK 21</t>
  </si>
  <si>
    <t>Dual-AppServerMigration</t>
  </si>
  <si>
    <t>P078</t>
  </si>
  <si>
    <t>UT078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</si>
  <si>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</si>
  <si>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</si>
  <si>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YES – OC4J client classes load on JDK 8 classpath</t>
  </si>
  <si>
    <t>NO – OC4J client has no JDK 21 support; uses removed APIs</t>
  </si>
  <si>
    <t>PARTIAL – OC4J client JARs pollute WLS 12c classpath</t>
  </si>
  <si>
    <t>NO – completely unsupported on WLS 14c / JDK 21</t>
  </si>
  <si>
    <t>P079</t>
  </si>
  <si>
    <t>UT079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</si>
  <si>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</si>
  <si>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</si>
  <si>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REMOVE – ODMG standard is obsolete (superseded by JPA/Hibernate); migrate to Jakarta Persistence 3.0</t>
  </si>
  <si>
    <t>ojdbc14.jar</t>
  </si>
  <si>
    <t>NO – ojdbc14 is Oracle 10g era; incompatible with JDK 21</t>
  </si>
  <si>
    <t>NO – replace with ojdbc8.jar</t>
  </si>
  <si>
    <t>MANDATORY – Upgrade to ojdbc8.jar (JDK 8+21 compatible)</t>
  </si>
  <si>
    <t>P080</t>
  </si>
  <si>
    <t>UT080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</si>
  <si>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</si>
  <si>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</si>
  <si>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P081</t>
  </si>
  <si>
    <t>UT081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</si>
  <si>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</si>
  <si>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</si>
  <si>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REMOVE – O'Reilly upload servlet is obsolete; migrate to commons-fileupload2-2.0.0-M2.jar or Jakarta Servlet FileUpload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</si>
  <si>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</si>
  <si>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</si>
  <si>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</si>
  <si>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YES – after upgrade to POI 5.2.x</t>
  </si>
  <si>
    <t>LOW – safe after upgrade</t>
  </si>
  <si>
    <t>UPGRADE – Replace jxl with Apache POI 5.2.5</t>
  </si>
  <si>
    <t>P082</t>
  </si>
  <si>
    <t>UT082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</si>
  <si>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</si>
  <si>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</si>
  <si>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P083</t>
  </si>
  <si>
    <t>UT083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</si>
  <si>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</si>
  <si>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</si>
  <si>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SAFE works BOTH JDK (upgrade version)</t>
  </si>
  <si>
    <t>providerutil.jar</t>
  </si>
  <si>
    <t>REVIEW – providerutil.jar identity unclear; validate vendor and obtain JDK 21 compatible version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</si>
  <si>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</si>
  <si>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</si>
  <si>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</si>
  <si>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YES – current quartz.jar runs on JDK 8</t>
  </si>
  <si>
    <t>YES – after upgrading to Quartz 2.3.2 (JDK 21 compatible)</t>
  </si>
  <si>
    <t>YES – Quartz 2.3.2 is also compatible with WLS 12c</t>
  </si>
  <si>
    <t>YES – Quartz 2.3.2 is compatible with WLS 14c / JDK 21</t>
  </si>
  <si>
    <t>UPGRADE JAR – Replace with Quartz Scheduler 2.3.2</t>
  </si>
  <si>
    <t>P084</t>
  </si>
  <si>
    <t>UT084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</si>
  <si>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</si>
  <si>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</si>
  <si>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REMOVE – SAXPath is obsolete; use javax.xml.xpath.XPath (JDK built-in) or jaxen-2.0.0.jar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</si>
  <si>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</si>
  <si>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</si>
  <si>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</si>
  <si>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</si>
  <si>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</si>
  <si>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</si>
  <si>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</si>
  <si>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REMOVE – Apache serializer.jar conflicts with JDK JAXP; use JDK javax.xml.transform.Transformer (built-in)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</si>
  <si>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</si>
  <si>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</si>
  <si>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</si>
  <si>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</si>
  <si>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</si>
  <si>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NOT-SAFE – JDK 21 ONLY (REMOVED feature)</t>
  </si>
  <si>
    <t>NO – must remove before WLS 14c</t>
  </si>
  <si>
    <t>Dual-SLF4J</t>
  </si>
  <si>
    <t>MANDATORY – Remove SecurityManager; use Jakarta EE Security / module boundaries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</si>
  <si>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</si>
  <si>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</si>
  <si>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UPGRADE to slf4j-simple-2.0.16.jar (JDK 8-21 compatible) OR replace with logback-classic-1.4.14.jar for production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</si>
  <si>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</si>
  <si>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</si>
  <si>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</si>
  <si>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</si>
  <si>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</si>
  <si>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</si>
  <si>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</si>
  <si>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UPGRADE to spring-aop-5.3.39.jar (JDK 8-21 compatible javax.* version) OR spring-aop-6.2.1.jar for jakarta.* migration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</si>
  <si>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</si>
  <si>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</si>
  <si>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UPGRADE to spring-beans-5.3.39.jar (JDK 8-21 compatible javax.* version) OR spring-beans-6.2.1.jar for jakarta.* migration</t>
  </si>
  <si>
    <t>P085</t>
  </si>
  <si>
    <t>UT085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</si>
  <si>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</si>
  <si>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</si>
  <si>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UPGRADE to spring-context-5.3.39.jar (JDK 8-21 compatible javax.* version) OR spring-context-6.2.1.jar for jakarta.* migration</t>
  </si>
  <si>
    <t>P086</t>
  </si>
  <si>
    <t>UT086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</si>
  <si>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</si>
  <si>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</si>
  <si>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UPGRADE to spring-core-5.3.39.jar (JDK 8-21 compatible javax.* version) OR spring-core-6.2.1.jar for jakarta.* migration</t>
  </si>
  <si>
    <t>P087</t>
  </si>
  <si>
    <t>UT087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</si>
  <si>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</si>
  <si>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</si>
  <si>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UPGRADE to spring-expression-5.3.39.jar (JDK 8-21 compatible javax.* version) OR spring-expression-6.2.1.jar for jakarta.* migration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</si>
  <si>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</si>
  <si>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</si>
  <si>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UPGRADE to spring-web-5.3.39.jar (JDK 8-21 compatible javax.* version) OR spring-web-6.2.1.jar for jakarta.* migration</t>
  </si>
  <si>
    <t>P088</t>
  </si>
  <si>
    <t>UT088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</si>
  <si>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</si>
  <si>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</si>
  <si>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UPGRADE to spring-webmvc-5.3.39.jar (JDK 8-21 compatible javax.* version) OR spring-webmvc-6.2.1.jar for jakarta.* migration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</si>
  <si>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</si>
  <si>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</si>
  <si>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VALIDATE – sshj-0.35.0.jar works on JDK 21; latest is sshj-0.39.0.jar</t>
  </si>
  <si>
    <t>P089</t>
  </si>
  <si>
    <t>UT089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</si>
  <si>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</si>
  <si>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</si>
  <si>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YES – SSOapiBean_client.jar runs on JDK 8 / WLS 12c</t>
  </si>
  <si>
    <t>UNKNOWN – GE internal JAR; JDK 21 compatibility requires vendor confirmation</t>
  </si>
  <si>
    <t>YES – active SSO client on WLS 12c</t>
  </si>
  <si>
    <t>ENGAGE GE TEAM – Request JDK 21 compatible SSOapiBean_client.jar</t>
  </si>
  <si>
    <t>P090</t>
  </si>
  <si>
    <t>UT090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</si>
  <si>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</si>
  <si>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</si>
  <si>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</si>
  <si>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UPGRADE to taglibs-standard-impl-1.2.5.jar + taglibs-standard-spec-1.2.5.jar (JDK 8-21 compatible) OR jakarta.servlet.jsp.jstl-api-3.0.0.jar for Jakarta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</si>
  <si>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</si>
  <si>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</si>
  <si>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</si>
  <si>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</si>
  <si>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</si>
  <si>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</si>
  <si>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</si>
  <si>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</si>
  <si>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REMOVE – struts-el.jar is part of Struts 1.x; migrate framework to Spring MVC or Jakarta Faces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</si>
  <si>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</si>
  <si>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</si>
  <si>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REMOVE – struts-legacy.jar is part of Struts 1.x; migrate framework to Spring MVC or Jakarta Faces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</si>
  <si>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</si>
  <si>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</si>
  <si>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YES – Struts 1.1 runs on JDK 8 / WLS 12c currently</t>
  </si>
  <si>
    <t>NO – Struts 1.x is EOL and incompatible with JDK 21 / Jakarta EE</t>
  </si>
  <si>
    <t>YES – this is the current production framework on WLS 12c</t>
  </si>
  <si>
    <t>NO – Struts 1.x requires javax.servlet.* which is absent on WLS 14c Jakarta EE</t>
  </si>
  <si>
    <t>P091</t>
  </si>
  <si>
    <t>UT091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</si>
  <si>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</si>
  <si>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</si>
  <si>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PARTIAL – Xalan conflicts with JDK 21 bundled JAXP</t>
  </si>
  <si>
    <t>PARTIAL – may conflict with WLS 14c JAXP implementation</t>
  </si>
  <si>
    <t>P092</t>
  </si>
  <si>
    <t>UT092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</si>
  <si>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</si>
  <si>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</si>
  <si>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NO – Xalan 2.6.0 is incompatible with JDK 21</t>
  </si>
  <si>
    <t>NO – replace with xalan 2.7.3 or JDK JAXP</t>
  </si>
  <si>
    <t>P093</t>
  </si>
  <si>
    <t>UT093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</si>
  <si>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</si>
  <si>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</si>
  <si>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PARTIAL – version-dependent; old Xalan conflicts with JDK 21</t>
  </si>
  <si>
    <t>PARTIAL – test required</t>
  </si>
  <si>
    <t>P094</t>
  </si>
  <si>
    <t>UT094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</si>
  <si>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</si>
  <si>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</si>
  <si>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PARTIAL – old Xerces conflicts with JDK 21 JAXP</t>
  </si>
  <si>
    <t>P095</t>
  </si>
  <si>
    <t>UT095</t>
  </si>
  <si>
    <t>xi_databinding.jar</t>
  </si>
  <si>
    <t>YES – xi_databinding.jar runs on JDK 8 / WLS 12c</t>
  </si>
  <si>
    <t>YES – after replacing with jakarta.xml.bind-api-4.0.0 + jaxb-runtime-4.0.0</t>
  </si>
  <si>
    <t>YES – current xi_databinding works on WLS 12c</t>
  </si>
  <si>
    <t>YES – jakarta.xml.bind-api-4.0.0 is the WLS 14c / Jakarta EE 10 JAXB API</t>
  </si>
  <si>
    <t>UPGRADE JAR – Replace with jakarta.xml.bind-api-4.0.0.jar, jaxb-runtime-4.0.0</t>
  </si>
  <si>
    <t>P096</t>
  </si>
  <si>
    <t>UT096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</si>
  <si>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</si>
  <si>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</si>
  <si>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REMOVE – xml-apis.jar conflicts with JDK JAXP; use JDK javax.xml.* (built-in)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</si>
  <si>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</si>
  <si>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</si>
  <si>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UPGRADE to xmlbeans-5.2.2.jar (JDK 8-21 compatible)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</si>
  <si>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</si>
  <si>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</si>
  <si>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P097</t>
  </si>
  <si>
    <t>UT097</t>
  </si>
  <si>
    <t>xstream-SNAPSHOT.jar</t>
  </si>
  <si>
    <t>YES – SNAPSHOT runs on JDK 8</t>
  </si>
  <si>
    <t>UNKNOWN – SNAPSHOT has no JDK 21 guarantee</t>
  </si>
  <si>
    <t>UNKNOWN – SNAPSHOT untested; security CVEs likely</t>
  </si>
  <si>
    <t>MANDATORY – Replace with XStream 1.4.20 stable</t>
  </si>
  <si>
    <t>P098</t>
  </si>
  <si>
    <t>UT098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</si>
  <si>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</si>
  <si>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</si>
  <si>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YES – commons-httpclient 3.3 runs on JDK 8</t>
  </si>
  <si>
    <t>NO – commons-httpclient 3.x is EOL and incompatible with JDK 21</t>
  </si>
  <si>
    <t>YES – runs on WLS 12c classpath</t>
  </si>
  <si>
    <t>NO – must replace before WLS 14c deployment</t>
  </si>
  <si>
    <t>P099</t>
  </si>
  <si>
    <t>UT099</t>
  </si>
  <si>
    <t>NA</t>
  </si>
  <si>
    <t>S</t>
  </si>
  <si>
    <t>ASSIGNED_TO</t>
  </si>
  <si>
    <t>STANDALONE TESTING STATUS</t>
  </si>
  <si>
    <t>TESTER REMARKS</t>
  </si>
  <si>
    <t>TARGET_TIMELINE</t>
  </si>
  <si>
    <t>Ashish</t>
  </si>
  <si>
    <t>WIP</t>
  </si>
  <si>
    <t>19-02-2026</t>
  </si>
  <si>
    <t>Possible by 23-Feb-2026 morning</t>
  </si>
  <si>
    <t>Tausif</t>
  </si>
  <si>
    <t>Verified (No code change required)</t>
  </si>
  <si>
    <t xml:space="preserve"> ojdbc8-12.2.0.1.jar tested with jdk 1.8 and 21 verify and working okay</t>
  </si>
  <si>
    <t>com.ibm.mq.allclient-9.3.0.jar tested with jdk 1.8 and 21 verify and working okay</t>
  </si>
  <si>
    <t>commons-beanutils-1.9.4.jar tested with jdk 1.8 and 21 verify and working okay</t>
  </si>
  <si>
    <t>commons-codec-1.17.1.jar tested with jdk 1.8 and 21 verify and working okay</t>
  </si>
  <si>
    <t>commons-collections4-4.4.jar  tested with jdk 1.8 and 21 verify and working okay</t>
  </si>
  <si>
    <t>existing jar tested with jdk 1.8 and 21 verify and working okay</t>
  </si>
  <si>
    <t>httpcore-4.4.16.jar tested with jdk 1.8 and 21 verify and working okay</t>
  </si>
  <si>
    <t xml:space="preserve"> bctls-fips-1.0.19.jar,bc-fips-1.0.2.5.jartested with jdk 1.8 and 21 verify and working okay</t>
  </si>
  <si>
    <t>log4j-api-2.17.1.jar,log4j-api-2.24.3.jar tested with jdk1.8 and 21 verfied and working okay</t>
  </si>
  <si>
    <t>ojdbc8-12.2.0.1.jar tested with jdk 1.8 and 21 verify and working okay</t>
  </si>
  <si>
    <t>KEYACTION</t>
  </si>
  <si>
    <t>(blank)</t>
  </si>
  <si>
    <t>BATCH 1 Total</t>
  </si>
  <si>
    <t>BATCH 2 Total</t>
  </si>
  <si>
    <t>BATCH 3 Total</t>
  </si>
  <si>
    <t>BATCH 4 Total</t>
  </si>
  <si>
    <t>BATCH 5 Total</t>
  </si>
  <si>
    <t>BATCH 6 Total</t>
  </si>
  <si>
    <t>BATCH 7 Total</t>
  </si>
  <si>
    <t>BATCH 8 Total</t>
  </si>
  <si>
    <t>BATCH 9 Total</t>
  </si>
  <si>
    <t>a. UAT TRACK (BAU) Total</t>
  </si>
  <si>
    <t>b. NEW JDK TRACK Total</t>
  </si>
  <si>
    <t>PENDING</t>
  </si>
  <si>
    <t>TBC</t>
  </si>
  <si>
    <t>BASE_EFFORT_DAYS</t>
  </si>
  <si>
    <t>REVIEW_EFFORT_DAYS</t>
  </si>
  <si>
    <t>TOTAL_EFFORT_DAYS</t>
  </si>
  <si>
    <t>Migrate JSP internal/sun.* usage to keep FPMS dual-runtime safe on JDK 8 and JDK 21; fully automated.</t>
  </si>
  <si>
    <t>Upgrade Underscore to keep FPMS JDK 21 blocker; fully automated.</t>
  </si>
  <si>
    <t>Upgrade  to keep FPMS dual-runtime safe on JDK 8 and JDK 21; semi automated.</t>
  </si>
  <si>
    <t>Upgrade Calendar to keep FPMS dual-runtime safe on JDK 8 and JDK 21; manual medium.</t>
  </si>
  <si>
    <t>Upgrade Old Date to keep FPMS dual-runtime safe on JDK 8 and JDK 21; manual medium.</t>
  </si>
  <si>
    <t>Upgrade Timestamp to keep FPMS dual-runtime safe on JDK 8 and JDK 21; manual medium.</t>
  </si>
  <si>
    <t>Upgrade CORBA to keep FPMS JDK 21 blocker; fully automated.</t>
  </si>
  <si>
    <t>Upgrade CORBA packages to keep FPMS JDK 21 blocker; fully automated.</t>
  </si>
  <si>
    <t>Upgrade Java Transaction to keep FPMS dual-runtime safe on JDK 8 and JDK 21; manual medium.</t>
  </si>
  <si>
    <t>Upgrade DiamondOperator to keep FPMS dual-runtime safe on JDK 8 and JDK 21; semi automated.</t>
  </si>
  <si>
    <t>Upgrade Raw List to keep FPMS dual-runtime safe on JDK 8 and JDK 21; semi automated.</t>
  </si>
  <si>
    <t>Upgrade SimpleDateFormat to keep FPMS dual-runtime safe on JDK 8 and JDK 21; manual medium.</t>
  </si>
  <si>
    <t>Upgrade Finalize to keep FPMS dual-runtime safe on JDK 8 and JDK 21; fully automated.</t>
  </si>
  <si>
    <t>Upgrade ReflectionPrivate to keep FPMS dual-runtime safe on JDK 8 and JDK 21; semi automated.</t>
  </si>
  <si>
    <t>Upgrade DES to keep FPMS dual-runtime safe on JDK 8 and JDK 21; semi automated; security/crypto change.</t>
  </si>
  <si>
    <t>Upgrade RC4 to keep FPMS dual-runtime safe on JDK 8 and JDK 21; semi automated; security/crypto change.</t>
  </si>
  <si>
    <t>Upgrade MD5 to keep FPMS dual-runtime safe on JDK 8 and JDK 21; fully automated; security/crypto change.</t>
  </si>
  <si>
    <t>Upgrade setAccessible(true) to keep FPMS dual-runtime safe on JDK 8 and JDK 21; semi automated.</t>
  </si>
  <si>
    <t>Upgrade JAXB annotations in models to keep FPMS dual-runtime safe on JDK 8 and JDK 21; fully automated.</t>
  </si>
  <si>
    <t>Upgrade JAXB javax.xml.bind to keep FPMS dual-runtime safe on JDK 8 and JDK 21; fully automated.</t>
  </si>
  <si>
    <t>Upgrade log4j-api-2.17.1.jar to keep FPMS dual-runtime safe on JDK 8 and JDK 21; fully automated.</t>
  </si>
  <si>
    <t>Upgrade commons-betwixt-1.0-alpha-1.jar to keep FPMS JDK 21 blocker; semi automated.</t>
  </si>
  <si>
    <t>Upgrade commons-mail-alpha.jar to keep FPMS JDK 21 blocker; semi automated.</t>
  </si>
  <si>
    <t>Upgrade not-yet-commons-ssl-0.3.10.jar to keep FPMS JDK 21 blocker; fully automated; security/crypto change.</t>
  </si>
  <si>
    <t>Upgrade xstream-SNAPSHOT.jar to keep FPMS JDK 21 blocker; semi automated.</t>
  </si>
  <si>
    <t>Remove xalan.jar to keep FPMS dual-runtime safe on JDK 8 and JDK 21; semi automated.</t>
  </si>
  <si>
    <t>Remove xalan-2.7.3.jar to keep FPMS dual-runtime safe on JDK 8 and JDK 21; semi automated.</t>
  </si>
  <si>
    <t>Remove xalan-j_2_6_0.jar to keep FPMS JDK 21 blocker; fully automated.</t>
  </si>
  <si>
    <t>Remove xerces.jar to keep FPMS dual-runtime safe on JDK 8 and JDK 21; semi automated.</t>
  </si>
  <si>
    <t>Migrate log4j-1.2.5.jar to keep FPMS JDK 21 blocker; manual high.</t>
  </si>
  <si>
    <t>Migrate commons-httpclient-3.0-beta1.jar to keep FPMS JDK 21 blocker; manual high.</t>
  </si>
  <si>
    <t>Upgrade classes12.jar to 12.2.0.1 to keep FPMS JDK 21 blocker; fully automated.</t>
  </si>
  <si>
    <t>Upgrade ojdbc14.jar to 12.2.0.1 to keep FPMS JDK 21 blocker; fully automated.</t>
  </si>
  <si>
    <t>Upgrade ojdbc6.jar to 12.2.0.1 to keep FPMS JDK 21 blocker; fully automated.</t>
  </si>
  <si>
    <t>Upgrade ibmjcefips.jar to 1.0.19 to keep FPMS JDK 21 blocker; fully automated; security/crypto change.</t>
  </si>
  <si>
    <t>Upgrade ibmjceprovider.jar to 1.0.19 to keep FPMS JDK 21 blocker; fully automated.</t>
  </si>
  <si>
    <t>Upgrade ibmjsseprovider2.jar to 1.0.19 to keep FPMS JDK 21 blocker; fully automated; security/crypto change.</t>
  </si>
  <si>
    <t>Upgrade jackson-annotations-2.8.8.jar to keep FPMS dual-runtime safe on JDK 8 and JDK 21; semi automated.</t>
  </si>
  <si>
    <t>Upgrade jackson-core-2.8.8.jar to keep FPMS dual-runtime safe on JDK 8 and JDK 21; semi automated.</t>
  </si>
  <si>
    <t>Upgrade jackson-databind-2.8.8.1.jar to keep FPMS dual-runtime safe on JDK 8 and JDK 21; semi automated.</t>
  </si>
  <si>
    <t>Upgrade jackson-databind-2.8.8.jar to keep FPMS dual-runtime safe on JDK 8 and JDK 21; semi automated.</t>
  </si>
  <si>
    <t>Upgrade bcpkix-jdk18on-1.76.jar to keep FPMS dual-runtime safe on JDK 8 and JDK 21; semi automated; security/crypto change.</t>
  </si>
  <si>
    <t>Upgrade bcprov-jdk14-143.jar to keep FPMS dual-runtime safe on JDK 8 and JDK 21; semi automated; security/crypto change.</t>
  </si>
  <si>
    <t>Upgrade spring-beans.jar to keep FPMS dual-runtime safe on JDK 8 and JDK 21; semi automated.</t>
  </si>
  <si>
    <t>Upgrade spring-context.jar to keep FPMS dual-runtime safe on JDK 8 and JDK 21; semi automated.</t>
  </si>
  <si>
    <t>Upgrade spring-core.jar to keep FPMS dual-runtime safe on JDK 8 and JDK 21; semi automated.</t>
  </si>
  <si>
    <t>Upgrade spring-web.jar to keep FPMS dual-runtime safe on JDK 8 and JDK 21; semi automated.</t>
  </si>
  <si>
    <t>Upgrade core-3.4.1.jar to keep FPMS dual-runtime safe on JDK 8 and JDK 21; semi automated.</t>
  </si>
  <si>
    <t>Upgrade javase-3.4.1.jar to keep FPMS dual-runtime safe on JDK 8 and JDK 21; semi automated.</t>
  </si>
  <si>
    <t>Upgrade cglib-full-2.0.2.jar to keep FPMS dual-runtime safe on JDK 8 and JDK 21; semi automated.</t>
  </si>
  <si>
    <t>Upgrade jfreechart-0.9.20.jar to keep FPMS dual-runtime safe on JDK 8 and JDK 21; semi automated.</t>
  </si>
  <si>
    <t>Upgrade commons-beanutils.jar to keep FPMS dual-runtime safe on JDK 8 and JDK 21; semi automated.</t>
  </si>
  <si>
    <t>Upgrade commons-codec-1.3.jar to keep FPMS dual-runtime safe on JDK 8 and JDK 21; semi automated.</t>
  </si>
  <si>
    <t>Upgrade commons-collections-3.2.2.jar to keep FPMS dual-runtime safe on JDK 8 and JDK 21; semi automated.</t>
  </si>
  <si>
    <t>Upgrade commons-dbcp-1.2.1.jar to keep FPMS dual-runtime safe on JDK 8 and JDK 21; semi automated.</t>
  </si>
  <si>
    <t>Upgrade commons-dbutils-1.0.jar to keep FPMS dual-runtime safe on JDK 8 and JDK 21; semi automated.</t>
  </si>
  <si>
    <t>Upgrade commons-fileupload.jar to keep FPMS dual-runtime safe on JDK 8 and JDK 21; semi automated.</t>
  </si>
  <si>
    <t>Upgrade commons-lang-2.0.jar to keep FPMS dual-runtime safe on JDK 8 and JDK 21; semi automated.</t>
  </si>
  <si>
    <t>Upgrade commons-net-1.1.0.jar to keep FPMS dual-runtime safe on JDK 8 and JDK 21; semi automated.</t>
  </si>
  <si>
    <t>Remove backport-util-concurrent.jar to keep FPMS JDK 21 blocker; fully automated.</t>
  </si>
  <si>
    <t>Upgrade jt400.jar to keep FPMS JDK 21 blocker; fully automated.</t>
  </si>
  <si>
    <t>Remove dom4j-1.5-rc1.jar to keep FPMS dual-runtime safe on JDK 8 and JDK 21; semi automated.</t>
  </si>
  <si>
    <t>Upgrade fop.jar to keep FPMS dual-runtime safe on JDK 8 and JDK 21; semi automated.</t>
  </si>
  <si>
    <t>Upgrade httpcore.jar to 4.4.16 to keep FPMS dual-runtime safe on JDK 8 and JDK 21; semi automated.</t>
  </si>
  <si>
    <t>Upgrade com.ibm.mq.jar to keep FPMS dual-runtime safe on JDK 8 and JDK 21; semi automated.</t>
  </si>
  <si>
    <t>Upgrade com.ibm.mqbind.jar to keep FPMS dual-runtime safe on JDK 8 and JDK 21; semi automated.</t>
  </si>
  <si>
    <t>Upgrade com.ibm.mqjms.jar to keep FPMS dual-runtime safe on JDK 8 and JDK 21; semi automated.</t>
  </si>
  <si>
    <t>Upgrade jdom.jar to keep FPMS dual-runtime safe on JDK 8 and JDK 21; semi automated.</t>
  </si>
  <si>
    <t>Upgrade commons-logging.jar to keep FPMS dual-runtime safe on JDK 8 and JDK 21; semi automated.</t>
  </si>
  <si>
    <t>Upgrade itext-1.3.jar to keep FPMS dual-runtime safe on JDK 8 and JDK 21; semi automated.</t>
  </si>
  <si>
    <t>Upgrade poi-3.8-20120326.jar to keep FPMS dual-runtime safe on JDK 8 and JDK 21; semi automated.</t>
  </si>
  <si>
    <t>Upgrade poi-ooxml-3.8-20120326.jar to keep FPMS dual-runtime safe on JDK 8 and JDK 21; semi automated.</t>
  </si>
  <si>
    <t>Upgrade sshj-0.35.0.jar to keep FPMS dual-runtime safe on JDK 8 and JDK 21; semi automated.</t>
  </si>
  <si>
    <t>Remove xstream-1.1.jar to keep FPMS dual-runtime safe on JDK 8 and JDK 21; semi automated.</t>
  </si>
  <si>
    <t>Refactor SecurityManager to keep FPMS JDK 21 blocker; manual high; security/crypto change.</t>
  </si>
  <si>
    <t>Refactor Scriptlets used to keep FPMS JDK 21 blocker; fully automated.</t>
  </si>
  <si>
    <t>Refactor Log4j 1.x usage to keep FPMS JDK 21 blocker; fully automated.</t>
  </si>
  <si>
    <t>Migrate httpclient.jar to 1.8 to keep FPMS JDK 21 blocker; manual high.</t>
  </si>
  <si>
    <t>Migrate yc-httpclient-3.3.jar to keep FPMS JDK 21 blocker; manual high.</t>
  </si>
  <si>
    <t>Refactor oc4j.jar to keep FPMS JDK 21 blocker; fully automated.</t>
  </si>
  <si>
    <t>Refactor oc4jclient.jar to keep FPMS JDK 21 blocker; fully automated.</t>
  </si>
  <si>
    <t>Refactor struts.jar to keep FPMS JDK 21 blocker; fully automated.</t>
  </si>
  <si>
    <t>Engage GE team to deliver JDK 21 compatible gel_ciom.jar; FPMS JDK 21 blocker pending GE internal JAR delivery.</t>
  </si>
  <si>
    <t>Engage GE team to deliver JDK 21 compatible gel_epay_online.jar; FPMS JDK 21 blocker pending GE internal JAR delivery.</t>
  </si>
  <si>
    <t>Engage GE team to deliver JDK 21 compatible aacm.jar; FPMS JDK 21 blocker pending GE internal JAR delivery.</t>
  </si>
  <si>
    <t>Engage GE team to deliver JDK 21 compatible SSOapiBean_client.jar; FPMS JDK 21 blocker pending GE internal JAR delivery.</t>
  </si>
  <si>
    <t>Refactor concurrent.jar to keep FPMS JDK 21 blocker; fully automated.</t>
  </si>
  <si>
    <t>Refactor EDU.jar to keep FPMS JDK 21 blocker; fully automated.</t>
  </si>
  <si>
    <t>Refactor javacsv.jar to keep FPMS JDK 21 blocker; fully automated.</t>
  </si>
  <si>
    <t>Refactor jftp.jar to keep FPMS JDK 21 blocker; fully automated.</t>
  </si>
  <si>
    <t>Refactor hibernate2.jar to keep FPMS JDK 21 blocker; manual high.</t>
  </si>
  <si>
    <t>Upgrade jcommon-0.9.5.jar to keep FPMS dual-runtime safe on JDK 8 and JDK 21; semi automated.</t>
  </si>
  <si>
    <t>Upgrade jxl.jar to keep FPMS dual-runtime safe on JDK 8 and JDK 21; semi automated.</t>
  </si>
  <si>
    <t>Upgrade json.jar to keep FPMS dual-runtime safe on JDK 8 and JDK 21; semi automated.</t>
  </si>
  <si>
    <t>Upgrade framework-1.3.2.jar to keep FPMS dual-runtime safe on JDK 8 and JDK 21; semi automated.</t>
  </si>
  <si>
    <t>Upgrade quartz.jar to keep FPMS dual-runtime safe on JDK 8 and JDK 21; semi automated.</t>
  </si>
  <si>
    <t>Upgrade jcraft.jar to keep FPMS dual-runtime safe on JDK 8 and JDK 21; semi automated.</t>
  </si>
  <si>
    <t>Upgrade junit.jar to keep FPMS dual-runtime safe on JDK 8 and JDK 21; semi automated.</t>
  </si>
  <si>
    <t>Upgrade xi_databinding.jar to keep FPMS dual-runtime safe on JDK 8 and JDK 21; semi automated.</t>
  </si>
  <si>
    <t>Upgrade castor-0.9.9.1.jar to keep FPMS dual-runtime safe on JDK 8 and JDK 21; semi automated.</t>
  </si>
  <si>
    <t>FULLY_AUTOMATED</t>
  </si>
  <si>
    <t>SEMI_AUTOMATED</t>
  </si>
  <si>
    <t>MANUAL_MEDIUM</t>
  </si>
  <si>
    <t>MANUAL_HIGH</t>
  </si>
  <si>
    <t>AUTOMATION_LEVEL</t>
  </si>
  <si>
    <t>OPENREWRITE_COVERAGE</t>
  </si>
  <si>
    <t>MANUAL_EFFORT_DESCRIPTION</t>
  </si>
  <si>
    <t>EXPLANATION</t>
  </si>
  <si>
    <t>Code review only</t>
  </si>
  <si>
    <t>OpenRewrite ChangeType replaces sun.misc.BASE64Encoder with java.util.Base64. Fully automated.</t>
  </si>
  <si>
    <t>OpenRewrite renames _ to unused/ignored. Fully automated.</t>
  </si>
  <si>
    <t>Review timezone handling</t>
  </si>
  <si>
    <t>OpenRewrite replaces Calendar with LocalDateTime/ZonedDateTime. May need timezone review.</t>
  </si>
  <si>
    <t>Review deprecated method usage</t>
  </si>
  <si>
    <t>OpenRewrite replaces new Date() with LocalDate.now(). Deprecated methods may need fixes.</t>
  </si>
  <si>
    <t>Review JDBC interactions, validate date conversions</t>
  </si>
  <si>
    <t>OpenRewrite migrates to java.time but JDBC setTimestamp needs validation. Semi-automated.</t>
  </si>
  <si>
    <t>Complete architectural rewrite - replace CORBA with REST/RMI</t>
  </si>
  <si>
    <t>OpenRewrite flags CORBA but cannot auto-replace. Requires architectural redesign to REST APIs or Java RMI. HIGH manual effort.</t>
  </si>
  <si>
    <t>Remove CORBA, refactor service layer</t>
  </si>
  <si>
    <t>Same as P001 - requires architectural rewrite.</t>
  </si>
  <si>
    <t>Add external JAR, validate transaction boundaries</t>
  </si>
  <si>
    <t>OpenRewrite updates imports but must manually add jta-1.3.jar. Validate transaction managers.</t>
  </si>
  <si>
    <t>Review complex generic declarations</t>
  </si>
  <si>
    <t>OpenRewrite adds missing generics. Complex nested generics may need review.</t>
  </si>
  <si>
    <t>None - fully automated</t>
  </si>
  <si>
    <t>OpenRewrite adds &lt;&gt; diamond operator. 100% automated.</t>
  </si>
  <si>
    <t>Replace with AES, review key sizes</t>
  </si>
  <si>
    <t>OpenRewrite flags weak ciphers but cipher replacement requires manual key management.</t>
  </si>
  <si>
    <t>Replace with AES, validate cipher modes</t>
  </si>
  <si>
    <t>Manual cipher replacement required.</t>
  </si>
  <si>
    <t>Replace with SHA-256</t>
  </si>
  <si>
    <t>OpenRewrite replaces MD5 with SHA-256. May need validation for password hashing.</t>
  </si>
  <si>
    <t>Convert to AutoCloseable/Cleaner</t>
  </si>
  <si>
    <t>OpenRewrite flags finalize() but conversion to try-with-resources requires manual refactoring.</t>
  </si>
  <si>
    <t>Review date patterns</t>
  </si>
  <si>
    <t>OpenRewrite replaces SimpleDateFormat with DateTimeFormatter.</t>
  </si>
  <si>
    <t>Refactor to use MethodHandles</t>
  </si>
  <si>
    <t>OpenRewrite flags reflection but refactoring requires API redesign.</t>
  </si>
  <si>
    <t>Same as P015</t>
  </si>
  <si>
    <t>Manual refactoring required.</t>
  </si>
  <si>
    <t>Same as P020</t>
  </si>
  <si>
    <t>Externalize JAXB dependency.</t>
  </si>
  <si>
    <t>Add jaxb-api JAR, validate XML mappings</t>
  </si>
  <si>
    <t>OpenRewrite updates imports but requires manual JAR addition.</t>
  </si>
  <si>
    <t>MOSTLY_AUTOMATED</t>
  </si>
  <si>
    <t>HIGHLY_MANUAL</t>
  </si>
  <si>
    <t>MIXED_AUTOMATION</t>
  </si>
  <si>
    <t>Complete removal - replace with Jakarta EE Security</t>
  </si>
  <si>
    <t>OpenRewrite flags SecurityManager but removal requires architectural redesign. HIGH manual effort.</t>
  </si>
  <si>
    <t>Refactor 94,847 scriptlets to JSTL/EL - MASSIVE EFFORT</t>
  </si>
  <si>
    <t>OpenRewrite cannot refactor scriptlets. Each embeds Java code that must be manually converted. HIGHEST effort in entire migration.</t>
  </si>
  <si>
    <t>Migrate config, test log output</t>
  </si>
  <si>
    <t>OpenRewrite Log4j1ToLog4j2 automates code. Manual: convert log4j.properties to log4j2.xml.</t>
  </si>
  <si>
    <t>Upgrade JAR, refactor API calls</t>
  </si>
  <si>
    <t>HttpClient 3.x to 4.5.x API is different. Manual refactoring required.</t>
  </si>
  <si>
    <t>Replace JAR, refactor HTTP calls</t>
  </si>
  <si>
    <t>Commons-httpclient to HttpClient 4.5.x requires complete API refactoring.</t>
  </si>
  <si>
    <t>Remove OC4J, migrate to Jakarta EE</t>
  </si>
  <si>
    <t>OC4J obsolete. Requires architectural migration to WLS/Tomcat APIs.</t>
  </si>
  <si>
    <t>Same as P078</t>
  </si>
  <si>
    <t>OC4J client removal requires API migration.</t>
  </si>
  <si>
    <t>Framework migration - Struts 1.x to Spring MVC (LARGEST EFFORT)</t>
  </si>
  <si>
    <t>Complete framework migration. Actions -&gt; @Controller, ActionForms -&gt; @ModelAttribute. 7,314 occurrences. CRITICAL.</t>
  </si>
  <si>
    <t>EXTERNAL_DEPENDENCY</t>
  </si>
  <si>
    <t>GE team to provide JDK 21 JAR - no code changes</t>
  </si>
  <si>
    <t>GE INTERNAL JAR. No code changes but BLOCKED until GE delivers.</t>
  </si>
  <si>
    <t>Replace with Jackson XML</t>
  </si>
  <si>
    <t>Replace Castor with Jackson XML. Marshalling code needs refactoring.</t>
  </si>
  <si>
    <t>Replace with java.util.concurrent</t>
  </si>
  <si>
    <t>OpenRewrite ChangePackage replaces EDU.oswego. Mostly automated.</t>
  </si>
  <si>
    <t>Same as P045</t>
  </si>
  <si>
    <t>Same as P045.</t>
  </si>
  <si>
    <t>JAR_UPGRADE</t>
  </si>
  <si>
    <t>Upgrade to 1.4.2 - no code changes</t>
  </si>
  <si>
    <t>Simple JAR upgrade. API backward compatible.</t>
  </si>
  <si>
    <t>GE team - BLOCKED (5,158 occurrences!)</t>
  </si>
  <si>
    <t>GE INTERNAL JAR. CRITICAL BLOCKER. No code changes but BLOCKED.</t>
  </si>
  <si>
    <t>GE team - no code changes</t>
  </si>
  <si>
    <t>GE INTERNAL JAR. BLOCKED until GE delivers.</t>
  </si>
  <si>
    <t>Upgrade Hibernate 2.x to 5.6.x - major ORM migration</t>
  </si>
  <si>
    <t>Hibernate 2.x to 5.6.x is major upgrade. Package changes, HBM to annotations. 3,362 occurrences. HIGH effort.</t>
  </si>
  <si>
    <t>Replace with OpenCSV</t>
  </si>
  <si>
    <t>Replace javacsv with OpenCSV. API different but similar.</t>
  </si>
  <si>
    <t>Upgrade JFreeChart - minimal changes</t>
  </si>
  <si>
    <t>JFreeChart 1.5.x absorbs jcommon. Minimal API changes.</t>
  </si>
  <si>
    <t>Upgrade to jsch-0.2.17 - no code changes</t>
  </si>
  <si>
    <t>Simple JAR upgrade. No code changes.</t>
  </si>
  <si>
    <t>Replace with JSch + Commons Net</t>
  </si>
  <si>
    <t>jftp.jar bundles multiple protocols. Replace with JSch + Commons Net. 2,541 occurrences.</t>
  </si>
  <si>
    <t>Upgrade org.json or migrate to Jackson</t>
  </si>
  <si>
    <t>Version upgrade is simple. Or migrate to Jackson.</t>
  </si>
  <si>
    <t>Upgrade JUnit 4 to 5</t>
  </si>
  <si>
    <t>OpenRewrite automates most changes. Test scope only.</t>
  </si>
  <si>
    <t>Replace with Apache POI</t>
  </si>
  <si>
    <t>jxl to POI requires API migration. Excel operations refactoring.</t>
  </si>
  <si>
    <t>Upgrade to 2.3.2 - minimal changes</t>
  </si>
  <si>
    <t>Quartz 2.3.2 mostly backward compatible. Minor changes.</t>
  </si>
  <si>
    <t>Replace with Jakarta XML Binding</t>
  </si>
  <si>
    <t>Replace with jakarta.xml.bind-api. OpenRewrite updates imports.</t>
  </si>
  <si>
    <t>VERIFICATION TIMELINE</t>
  </si>
  <si>
    <t>VERIFICATION STATUS</t>
  </si>
  <si>
    <t>VERIFICATION REMARKS</t>
  </si>
  <si>
    <t>IMPACTED FILES TO CHANGE</t>
  </si>
  <si>
    <t>ANALYSIS_REMARKS</t>
  </si>
  <si>
    <t>DEVELOPER VERIFICATION</t>
  </si>
  <si>
    <t>HERODEV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</si>
</sst>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Public Sans"/>
      <family val="2"/>
    </font>
    <font>
      <sz val="11"/>
      <color rgb="FF242424"/>
      <name val="Aptos Narrow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Public Sans"/>
      <family val="2"/>
    </font>
    <font>
      <b/>
      <sz val="11"/>
      <color theme="0"/>
      <name val="Calibri"/>
      <family val="2"/>
    </font>
    <font>
      <sz val="9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18655"/>
        <bgColor rgb="FF918655"/>
      </patternFill>
    </fill>
    <fill>
      <patternFill patternType="solid">
        <fgColor rgb="FFFFFFFF"/>
        <bgColor rgb="FF000000"/>
      </patternFill>
    </fill>
    <fill>
      <patternFill patternType="solid">
        <fgColor rgb="FFFDF0E9"/>
        <bgColor rgb="FF000000"/>
      </patternFill>
    </fill>
    <fill>
      <patternFill patternType="solid">
        <fgColor rgb="FFF8E4F6"/>
        <bgColor indexed="64"/>
      </patternFill>
    </fill>
    <fill>
      <patternFill patternType="solid">
        <fgColor rgb="FFE3F6FD"/>
        <bgColor indexed="64"/>
      </patternFill>
    </fill>
    <fill>
      <patternFill patternType="solid">
        <fgColor rgb="FF54A021"/>
        <bgColor rgb="FF54A021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918655"/>
      </left>
      <right/>
      <top style="thin">
        <color rgb="FF918655"/>
      </top>
      <bottom/>
      <diagonal/>
    </border>
    <border>
      <left/>
      <right/>
      <top style="thin">
        <color rgb="FF918655"/>
      </top>
      <bottom/>
      <diagonal/>
    </border>
    <border>
      <left/>
      <right style="thin">
        <color rgb="FF918655"/>
      </right>
      <top style="thin">
        <color rgb="FF918655"/>
      </top>
      <bottom/>
      <diagonal/>
    </border>
    <border>
      <left style="thin">
        <color rgb="FF918655"/>
      </left>
      <right/>
      <top style="thin">
        <color rgb="FF918655"/>
      </top>
      <bottom style="thin">
        <color rgb="FF918655"/>
      </bottom>
      <diagonal/>
    </border>
    <border>
      <left/>
      <right/>
      <top style="thin">
        <color rgb="FF918655"/>
      </top>
      <bottom style="thin">
        <color rgb="FF918655"/>
      </bottom>
      <diagonal/>
    </border>
    <border>
      <left/>
      <right style="thin">
        <color rgb="FF918655"/>
      </right>
      <top style="thin">
        <color rgb="FF918655"/>
      </top>
      <bottom style="thin">
        <color rgb="FF9186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3" xfId="0" applyFont="1" applyBorder="1"/>
    <xf numFmtId="0" fontId="3" fillId="0" borderId="3" xfId="0" quotePrefix="1" applyFont="1" applyBorder="1"/>
    <xf numFmtId="0" fontId="1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left" vertical="top"/>
    </xf>
    <xf numFmtId="0" fontId="3" fillId="0" borderId="6" xfId="0" quotePrefix="1" applyFont="1" applyBorder="1"/>
    <xf numFmtId="0" fontId="4" fillId="0" borderId="0" xfId="0" applyFont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2" fillId="7" borderId="7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6" borderId="13" xfId="0" applyFont="1" applyFill="1" applyBorder="1" applyAlignment="1" applyProtection="1">
      <alignment vertical="center"/>
      <protection locked="0"/>
    </xf>
    <xf numFmtId="0" fontId="4" fillId="6" borderId="14" xfId="0" applyFont="1" applyFill="1" applyBorder="1" applyAlignment="1" applyProtection="1">
      <alignment vertical="center"/>
      <protection locked="0"/>
    </xf>
    <xf numFmtId="0" fontId="4" fillId="6" borderId="15" xfId="0" applyFont="1" applyFill="1" applyBorder="1" applyAlignment="1" applyProtection="1">
      <alignment vertical="center"/>
      <protection locked="0"/>
    </xf>
    <xf numFmtId="0" fontId="4" fillId="5" borderId="16" xfId="0" applyFont="1" applyFill="1" applyBorder="1" applyAlignment="1" applyProtection="1">
      <alignment vertical="center"/>
      <protection locked="0"/>
    </xf>
    <xf numFmtId="0" fontId="4" fillId="5" borderId="14" xfId="0" applyFont="1" applyFill="1" applyBorder="1" applyAlignment="1" applyProtection="1">
      <alignment vertical="center"/>
      <protection locked="0"/>
    </xf>
    <xf numFmtId="0" fontId="4" fillId="5" borderId="12" xfId="0" applyFont="1" applyFill="1" applyBorder="1" applyAlignment="1" applyProtection="1">
      <alignment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/>
    <xf numFmtId="9" fontId="4" fillId="0" borderId="0" xfId="0" applyNumberFormat="1" applyFont="1" applyAlignment="1" applyProtection="1">
      <alignment horizontal="left" vertical="center"/>
      <protection locked="0"/>
    </xf>
    <xf numFmtId="9" fontId="4" fillId="0" borderId="8" xfId="0" applyNumberFormat="1" applyFont="1" applyBorder="1" applyAlignment="1" applyProtection="1">
      <alignment horizontal="left" vertical="center"/>
      <protection locked="0"/>
    </xf>
    <xf numFmtId="0" fontId="8" fillId="8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18">
    <dxf>
      <fill>
        <patternFill>
          <bgColor rgb="FFDFF4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BE2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BE2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3" tint="-0.499984740745262"/>
      </font>
      <fill>
        <patternFill>
          <bgColor rgb="FFB3D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FFC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9" tint="-0.499984740745262"/>
      </font>
      <fill>
        <patternFill>
          <bgColor rgb="FFF7F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9" tint="-0.24994659260841701"/>
      </font>
      <fill>
        <patternFill>
          <bgColor rgb="FFE5F6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2060"/>
      </font>
      <fill>
        <patternFill>
          <bgColor rgb="FFFFE07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C9C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rgb="FF918655"/>
        </left>
      </border>
    </dxf>
    <dxf>
      <border>
        <left style="thin">
          <color rgb="FF918655"/>
        </left>
      </border>
    </dxf>
    <dxf>
      <border>
        <top style="thin">
          <color rgb="FF918655"/>
        </top>
      </border>
    </dxf>
    <dxf>
      <border>
        <top style="thin">
          <color rgb="FF918655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918655"/>
        </top>
      </border>
    </dxf>
    <dxf>
      <font>
        <b/>
        <color rgb="FFFFFFFF"/>
      </font>
      <fill>
        <patternFill patternType="solid">
          <fgColor rgb="FF918655"/>
          <bgColor rgb="FF918655"/>
        </patternFill>
      </fill>
    </dxf>
    <dxf>
      <font>
        <color rgb="FF000000"/>
      </font>
      <border>
        <left style="thin">
          <color rgb="FF918655"/>
        </left>
        <right style="thin">
          <color rgb="FF918655"/>
        </right>
        <top style="thin">
          <color rgb="FF918655"/>
        </top>
        <bottom style="thin">
          <color rgb="FF918655"/>
        </bottom>
      </border>
    </dxf>
  </dxfs>
  <tableStyles count="1" defaultTableStyle="TableStyleMedium2" defaultPivotStyle="PivotStyleLight16">
    <tableStyle name="TableStyleLight14 2" pivot="0" count="9" xr9:uid="{F995E143-0A41-4458-8E56-DC9289CCA9C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colors>
    <mruColors>
      <color rgb="FFFFFFC5"/>
      <color rgb="FFF7FCFF"/>
      <color rgb="FFECF8FE"/>
      <color rgb="FFFBE2D5"/>
      <color rgb="FFDFF4FD"/>
      <color rgb="FFE6F0FA"/>
      <color rgb="FFD5E6F7"/>
      <color rgb="FF99DC7E"/>
      <color rgb="FFF0FAEC"/>
      <color rgb="FFE5F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CBCF-7A29-497F-9B29-CB823FC417F6}">
  <dimension ref="A1:AG151"/>
  <sheetViews>
    <sheetView topLeftCell="E1" workbookViewId="0">
      <selection activeCell="O1" sqref="O1"/>
    </sheetView>
  </sheetViews>
  <sheetFormatPr defaultRowHeight="17.399999999999999" x14ac:dyDescent="0.4"/>
  <cols>
    <col min="1" max="1" width="7.25" customWidth="1"/>
    <col min="3" max="3" width="31.08203125" bestFit="1" customWidth="1"/>
    <col min="4" max="4" width="25.83203125" bestFit="1" customWidth="1"/>
    <col min="5" max="5" width="43.33203125" bestFit="1" customWidth="1"/>
  </cols>
  <sheetData>
    <row r="1" spans="1:33" ht="57.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1099</v>
      </c>
      <c r="AB1" s="2" t="s">
        <v>26</v>
      </c>
      <c r="AC1" s="2" t="s">
        <v>27</v>
      </c>
      <c r="AD1" s="2" t="s">
        <v>1100</v>
      </c>
      <c r="AE1" s="2" t="s">
        <v>1101</v>
      </c>
      <c r="AF1" s="2" t="s">
        <v>1102</v>
      </c>
      <c r="AG1" s="3" t="s">
        <v>1103</v>
      </c>
    </row>
    <row r="2" spans="1:33" x14ac:dyDescent="0.4">
      <c r="A2" s="4">
        <v>4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>
        <v>4</v>
      </c>
      <c r="N2" s="5">
        <v>8</v>
      </c>
      <c r="O2" s="5">
        <v>1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44</v>
      </c>
      <c r="X2" s="5" t="s">
        <v>46</v>
      </c>
      <c r="Y2" s="5" t="s">
        <v>47</v>
      </c>
      <c r="Z2" s="5" t="s">
        <v>48</v>
      </c>
      <c r="AA2" s="6" t="s">
        <v>49</v>
      </c>
      <c r="AB2" s="5" t="s">
        <v>50</v>
      </c>
      <c r="AC2" s="5" t="s">
        <v>51</v>
      </c>
      <c r="AD2" s="5"/>
      <c r="AE2" s="5"/>
      <c r="AF2" s="5"/>
      <c r="AG2" s="7"/>
    </row>
    <row r="3" spans="1:33" x14ac:dyDescent="0.4">
      <c r="A3" s="4">
        <v>5</v>
      </c>
      <c r="B3" s="5" t="s">
        <v>28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33</v>
      </c>
      <c r="H3" s="5" t="s">
        <v>34</v>
      </c>
      <c r="I3" s="5" t="s">
        <v>56</v>
      </c>
      <c r="J3" s="5" t="s">
        <v>57</v>
      </c>
      <c r="K3" s="5" t="s">
        <v>58</v>
      </c>
      <c r="L3" s="5" t="s">
        <v>33</v>
      </c>
      <c r="M3" s="5">
        <v>0.5</v>
      </c>
      <c r="N3" s="5">
        <v>10</v>
      </c>
      <c r="O3" s="5">
        <v>1037</v>
      </c>
      <c r="P3" s="5" t="s">
        <v>39</v>
      </c>
      <c r="Q3" s="5" t="s">
        <v>40</v>
      </c>
      <c r="R3" s="5" t="s">
        <v>41</v>
      </c>
      <c r="S3" s="5" t="s">
        <v>42</v>
      </c>
      <c r="T3" s="5" t="s">
        <v>43</v>
      </c>
      <c r="U3" s="5" t="s">
        <v>44</v>
      </c>
      <c r="V3" s="5" t="s">
        <v>59</v>
      </c>
      <c r="W3" s="5" t="s">
        <v>60</v>
      </c>
      <c r="X3" s="5" t="s">
        <v>61</v>
      </c>
      <c r="Y3" s="5" t="s">
        <v>62</v>
      </c>
      <c r="Z3" s="5" t="s">
        <v>63</v>
      </c>
      <c r="AA3" s="6" t="s">
        <v>64</v>
      </c>
      <c r="AB3" s="5" t="s">
        <v>65</v>
      </c>
      <c r="AC3" s="5" t="s">
        <v>66</v>
      </c>
      <c r="AD3" s="5"/>
      <c r="AE3" s="5"/>
      <c r="AF3" s="5"/>
      <c r="AG3" s="7"/>
    </row>
    <row r="4" spans="1:33" x14ac:dyDescent="0.4">
      <c r="A4" s="4">
        <v>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76</v>
      </c>
      <c r="L4" s="5" t="s">
        <v>77</v>
      </c>
      <c r="M4" s="5">
        <v>0.25</v>
      </c>
      <c r="N4" s="5">
        <v>150</v>
      </c>
      <c r="O4" s="5">
        <v>0</v>
      </c>
      <c r="P4" s="5" t="s">
        <v>1098</v>
      </c>
      <c r="Q4" s="5" t="s">
        <v>1098</v>
      </c>
      <c r="R4" s="5" t="s">
        <v>1098</v>
      </c>
      <c r="S4" s="5" t="s">
        <v>1098</v>
      </c>
      <c r="T4" s="5" t="s">
        <v>78</v>
      </c>
      <c r="U4" s="5" t="s">
        <v>79</v>
      </c>
      <c r="V4" s="5" t="s">
        <v>80</v>
      </c>
      <c r="W4" s="5" t="s">
        <v>79</v>
      </c>
      <c r="X4" s="5" t="s">
        <v>80</v>
      </c>
      <c r="Y4" s="5">
        <v>0</v>
      </c>
      <c r="Z4" s="5" t="s">
        <v>81</v>
      </c>
      <c r="AA4" s="6" t="s">
        <v>82</v>
      </c>
      <c r="AB4" s="5"/>
      <c r="AC4" s="5"/>
      <c r="AD4" s="5"/>
      <c r="AE4" s="5"/>
      <c r="AF4" s="5"/>
      <c r="AG4" s="7"/>
    </row>
    <row r="5" spans="1:33" x14ac:dyDescent="0.4">
      <c r="A5" s="4">
        <v>7</v>
      </c>
      <c r="B5" s="5" t="s">
        <v>67</v>
      </c>
      <c r="C5" s="5" t="s">
        <v>68</v>
      </c>
      <c r="D5" s="5" t="s">
        <v>83</v>
      </c>
      <c r="E5" s="5" t="s">
        <v>70</v>
      </c>
      <c r="F5" s="5" t="s">
        <v>84</v>
      </c>
      <c r="G5" s="5" t="s">
        <v>72</v>
      </c>
      <c r="H5" s="5" t="s">
        <v>73</v>
      </c>
      <c r="I5" s="5" t="s">
        <v>85</v>
      </c>
      <c r="J5" s="5" t="s">
        <v>75</v>
      </c>
      <c r="K5" s="5" t="s">
        <v>76</v>
      </c>
      <c r="L5" s="5" t="s">
        <v>77</v>
      </c>
      <c r="M5" s="5">
        <v>0.25</v>
      </c>
      <c r="N5" s="5">
        <v>151</v>
      </c>
      <c r="O5" s="5">
        <v>0</v>
      </c>
      <c r="P5" s="5" t="s">
        <v>1098</v>
      </c>
      <c r="Q5" s="5" t="s">
        <v>1098</v>
      </c>
      <c r="R5" s="5" t="s">
        <v>1098</v>
      </c>
      <c r="S5" s="5" t="s">
        <v>1098</v>
      </c>
      <c r="T5" s="5" t="s">
        <v>78</v>
      </c>
      <c r="U5" s="5" t="s">
        <v>79</v>
      </c>
      <c r="V5" s="5" t="s">
        <v>80</v>
      </c>
      <c r="W5" s="5" t="s">
        <v>79</v>
      </c>
      <c r="X5" s="5" t="s">
        <v>80</v>
      </c>
      <c r="Y5" s="5">
        <v>0</v>
      </c>
      <c r="Z5" s="5" t="s">
        <v>81</v>
      </c>
      <c r="AA5" s="6" t="s">
        <v>82</v>
      </c>
      <c r="AB5" s="5"/>
      <c r="AC5" s="5"/>
      <c r="AD5" s="5"/>
      <c r="AE5" s="5"/>
      <c r="AF5" s="5"/>
      <c r="AG5" s="7"/>
    </row>
    <row r="6" spans="1:33" x14ac:dyDescent="0.4">
      <c r="A6" s="4">
        <v>8</v>
      </c>
      <c r="B6" s="5" t="s">
        <v>67</v>
      </c>
      <c r="C6" s="5" t="s">
        <v>86</v>
      </c>
      <c r="D6" s="5" t="s">
        <v>87</v>
      </c>
      <c r="E6" s="5" t="s">
        <v>70</v>
      </c>
      <c r="F6" s="5" t="s">
        <v>88</v>
      </c>
      <c r="G6" s="5" t="s">
        <v>72</v>
      </c>
      <c r="H6" s="5" t="s">
        <v>73</v>
      </c>
      <c r="I6" s="5" t="s">
        <v>89</v>
      </c>
      <c r="J6" s="5" t="s">
        <v>90</v>
      </c>
      <c r="K6" s="5" t="s">
        <v>91</v>
      </c>
      <c r="L6" s="5" t="s">
        <v>38</v>
      </c>
      <c r="M6" s="5">
        <v>3</v>
      </c>
      <c r="N6" s="5">
        <v>152</v>
      </c>
      <c r="O6" s="5">
        <v>0</v>
      </c>
      <c r="P6" s="5" t="s">
        <v>1098</v>
      </c>
      <c r="Q6" s="5" t="s">
        <v>1098</v>
      </c>
      <c r="R6" s="5" t="s">
        <v>1098</v>
      </c>
      <c r="S6" s="5" t="s">
        <v>1098</v>
      </c>
      <c r="T6" s="5" t="s">
        <v>78</v>
      </c>
      <c r="U6" s="5" t="s">
        <v>79</v>
      </c>
      <c r="V6" s="5" t="s">
        <v>80</v>
      </c>
      <c r="W6" s="5" t="s">
        <v>79</v>
      </c>
      <c r="X6" s="5" t="s">
        <v>80</v>
      </c>
      <c r="Y6" s="5">
        <v>0</v>
      </c>
      <c r="Z6" s="5" t="s">
        <v>92</v>
      </c>
      <c r="AA6" s="6" t="s">
        <v>82</v>
      </c>
      <c r="AB6" s="5"/>
      <c r="AC6" s="5"/>
      <c r="AD6" s="5"/>
      <c r="AE6" s="5"/>
      <c r="AF6" s="5"/>
      <c r="AG6" s="7"/>
    </row>
    <row r="7" spans="1:33" x14ac:dyDescent="0.4">
      <c r="A7" s="4">
        <v>9</v>
      </c>
      <c r="B7" s="5" t="s">
        <v>67</v>
      </c>
      <c r="C7" s="5" t="s">
        <v>93</v>
      </c>
      <c r="D7" s="5" t="s">
        <v>94</v>
      </c>
      <c r="E7" s="5" t="s">
        <v>95</v>
      </c>
      <c r="F7" s="5" t="s">
        <v>96</v>
      </c>
      <c r="G7" s="5" t="s">
        <v>38</v>
      </c>
      <c r="H7" s="5" t="s">
        <v>73</v>
      </c>
      <c r="I7" s="5" t="s">
        <v>97</v>
      </c>
      <c r="J7" s="5" t="s">
        <v>36</v>
      </c>
      <c r="K7" s="5" t="s">
        <v>98</v>
      </c>
      <c r="L7" s="5" t="s">
        <v>33</v>
      </c>
      <c r="M7" s="5">
        <v>2</v>
      </c>
      <c r="N7" s="5">
        <v>153</v>
      </c>
      <c r="O7" s="5">
        <v>0</v>
      </c>
      <c r="P7" s="5" t="s">
        <v>1098</v>
      </c>
      <c r="Q7" s="5" t="s">
        <v>1098</v>
      </c>
      <c r="R7" s="5" t="s">
        <v>1098</v>
      </c>
      <c r="S7" s="5" t="s">
        <v>1098</v>
      </c>
      <c r="T7" s="5" t="s">
        <v>78</v>
      </c>
      <c r="U7" s="5" t="s">
        <v>79</v>
      </c>
      <c r="V7" s="5" t="s">
        <v>80</v>
      </c>
      <c r="W7" s="5" t="s">
        <v>79</v>
      </c>
      <c r="X7" s="5" t="s">
        <v>80</v>
      </c>
      <c r="Y7" s="5">
        <v>0</v>
      </c>
      <c r="Z7" s="5" t="s">
        <v>99</v>
      </c>
      <c r="AA7" s="6" t="s">
        <v>82</v>
      </c>
      <c r="AB7" s="5"/>
      <c r="AC7" s="5"/>
      <c r="AD7" s="5"/>
      <c r="AE7" s="5"/>
      <c r="AF7" s="5"/>
      <c r="AG7" s="7"/>
    </row>
    <row r="8" spans="1:33" x14ac:dyDescent="0.4">
      <c r="A8" s="4">
        <v>10</v>
      </c>
      <c r="B8" s="5" t="s">
        <v>67</v>
      </c>
      <c r="C8" s="5" t="s">
        <v>100</v>
      </c>
      <c r="D8" s="5" t="s">
        <v>101</v>
      </c>
      <c r="E8" s="5" t="s">
        <v>102</v>
      </c>
      <c r="F8" s="5" t="s">
        <v>103</v>
      </c>
      <c r="G8" s="5" t="s">
        <v>38</v>
      </c>
      <c r="H8" s="5" t="s">
        <v>73</v>
      </c>
      <c r="I8" s="5" t="s">
        <v>104</v>
      </c>
      <c r="J8" s="5" t="s">
        <v>75</v>
      </c>
      <c r="K8" s="5" t="s">
        <v>105</v>
      </c>
      <c r="L8" s="5" t="s">
        <v>77</v>
      </c>
      <c r="M8" s="5">
        <v>0.25</v>
      </c>
      <c r="N8" s="5">
        <v>154</v>
      </c>
      <c r="O8" s="5">
        <v>0</v>
      </c>
      <c r="P8" s="5" t="s">
        <v>1098</v>
      </c>
      <c r="Q8" s="5" t="s">
        <v>1098</v>
      </c>
      <c r="R8" s="5" t="s">
        <v>1098</v>
      </c>
      <c r="S8" s="5" t="s">
        <v>1098</v>
      </c>
      <c r="T8" s="5" t="s">
        <v>78</v>
      </c>
      <c r="U8" s="5" t="s">
        <v>79</v>
      </c>
      <c r="V8" s="5" t="s">
        <v>80</v>
      </c>
      <c r="W8" s="5" t="s">
        <v>79</v>
      </c>
      <c r="X8" s="5" t="s">
        <v>80</v>
      </c>
      <c r="Y8" s="5">
        <v>0</v>
      </c>
      <c r="Z8" s="5" t="s">
        <v>106</v>
      </c>
      <c r="AA8" s="6" t="s">
        <v>82</v>
      </c>
      <c r="AB8" s="5"/>
      <c r="AC8" s="5"/>
      <c r="AD8" s="5"/>
      <c r="AE8" s="5"/>
      <c r="AF8" s="5"/>
      <c r="AG8" s="7"/>
    </row>
    <row r="9" spans="1:33" x14ac:dyDescent="0.4">
      <c r="A9" s="4">
        <v>11</v>
      </c>
      <c r="B9" s="5" t="s">
        <v>107</v>
      </c>
      <c r="C9" s="5" t="s">
        <v>108</v>
      </c>
      <c r="D9" s="5" t="s">
        <v>109</v>
      </c>
      <c r="E9" s="5" t="s">
        <v>110</v>
      </c>
      <c r="F9" s="5" t="s">
        <v>111</v>
      </c>
      <c r="G9" s="5" t="s">
        <v>38</v>
      </c>
      <c r="H9" s="5" t="s">
        <v>112</v>
      </c>
      <c r="I9" s="5" t="s">
        <v>113</v>
      </c>
      <c r="J9" s="5" t="s">
        <v>90</v>
      </c>
      <c r="K9" s="5" t="s">
        <v>114</v>
      </c>
      <c r="L9" s="5" t="s">
        <v>33</v>
      </c>
      <c r="M9" s="5">
        <v>1.5</v>
      </c>
      <c r="N9" s="5">
        <v>18</v>
      </c>
      <c r="O9" s="5">
        <v>224</v>
      </c>
      <c r="P9" s="5" t="s">
        <v>39</v>
      </c>
      <c r="Q9" s="5" t="s">
        <v>40</v>
      </c>
      <c r="R9" s="5" t="s">
        <v>41</v>
      </c>
      <c r="S9" s="5" t="s">
        <v>115</v>
      </c>
      <c r="T9" s="5" t="s">
        <v>43</v>
      </c>
      <c r="U9" s="5" t="s">
        <v>116</v>
      </c>
      <c r="V9" s="5" t="s">
        <v>117</v>
      </c>
      <c r="W9" s="5" t="s">
        <v>44</v>
      </c>
      <c r="X9" s="5" t="s">
        <v>118</v>
      </c>
      <c r="Y9" s="5" t="s">
        <v>119</v>
      </c>
      <c r="Z9" s="5" t="s">
        <v>48</v>
      </c>
      <c r="AA9" s="6" t="s">
        <v>120</v>
      </c>
      <c r="AB9" s="5" t="s">
        <v>121</v>
      </c>
      <c r="AC9" s="5" t="s">
        <v>122</v>
      </c>
      <c r="AD9" s="5"/>
      <c r="AE9" s="5"/>
      <c r="AF9" s="5"/>
      <c r="AG9" s="7"/>
    </row>
    <row r="10" spans="1:33" x14ac:dyDescent="0.4">
      <c r="A10" s="4">
        <v>12</v>
      </c>
      <c r="B10" s="5" t="s">
        <v>107</v>
      </c>
      <c r="C10" s="5" t="s">
        <v>108</v>
      </c>
      <c r="D10" s="5" t="s">
        <v>123</v>
      </c>
      <c r="E10" s="5" t="s">
        <v>110</v>
      </c>
      <c r="F10" s="5" t="s">
        <v>124</v>
      </c>
      <c r="G10" s="5" t="s">
        <v>38</v>
      </c>
      <c r="H10" s="5" t="s">
        <v>112</v>
      </c>
      <c r="I10" s="5" t="s">
        <v>125</v>
      </c>
      <c r="J10" s="5" t="s">
        <v>90</v>
      </c>
      <c r="K10" s="5" t="s">
        <v>114</v>
      </c>
      <c r="L10" s="5" t="s">
        <v>33</v>
      </c>
      <c r="M10" s="5">
        <v>1.5</v>
      </c>
      <c r="N10" s="5">
        <v>19</v>
      </c>
      <c r="O10" s="5">
        <v>13</v>
      </c>
      <c r="P10" s="5" t="s">
        <v>39</v>
      </c>
      <c r="Q10" s="5" t="s">
        <v>40</v>
      </c>
      <c r="R10" s="5" t="s">
        <v>41</v>
      </c>
      <c r="S10" s="5" t="s">
        <v>115</v>
      </c>
      <c r="T10" s="5" t="s">
        <v>43</v>
      </c>
      <c r="U10" s="5" t="s">
        <v>126</v>
      </c>
      <c r="V10" s="5" t="s">
        <v>127</v>
      </c>
      <c r="W10" s="5" t="s">
        <v>44</v>
      </c>
      <c r="X10" s="5" t="s">
        <v>118</v>
      </c>
      <c r="Y10" s="5" t="s">
        <v>119</v>
      </c>
      <c r="Z10" s="5" t="s">
        <v>48</v>
      </c>
      <c r="AA10" s="6" t="s">
        <v>120</v>
      </c>
      <c r="AB10" s="5" t="s">
        <v>128</v>
      </c>
      <c r="AC10" s="5" t="s">
        <v>129</v>
      </c>
      <c r="AD10" s="5"/>
      <c r="AE10" s="5"/>
      <c r="AF10" s="5"/>
      <c r="AG10" s="7"/>
    </row>
    <row r="11" spans="1:33" x14ac:dyDescent="0.4">
      <c r="A11" s="4">
        <v>13</v>
      </c>
      <c r="B11" s="5" t="s">
        <v>107</v>
      </c>
      <c r="C11" s="5" t="s">
        <v>130</v>
      </c>
      <c r="D11" s="5" t="s">
        <v>131</v>
      </c>
      <c r="E11" s="5" t="s">
        <v>132</v>
      </c>
      <c r="F11" s="5" t="s">
        <v>133</v>
      </c>
      <c r="G11" s="5" t="s">
        <v>38</v>
      </c>
      <c r="H11" s="5" t="s">
        <v>112</v>
      </c>
      <c r="I11" s="5" t="s">
        <v>134</v>
      </c>
      <c r="J11" s="5" t="s">
        <v>90</v>
      </c>
      <c r="K11" s="5" t="s">
        <v>114</v>
      </c>
      <c r="L11" s="5" t="s">
        <v>33</v>
      </c>
      <c r="M11" s="5">
        <v>1.5</v>
      </c>
      <c r="N11" s="5">
        <v>20</v>
      </c>
      <c r="O11" s="5">
        <v>3</v>
      </c>
      <c r="P11" s="5" t="s">
        <v>39</v>
      </c>
      <c r="Q11" s="5" t="s">
        <v>40</v>
      </c>
      <c r="R11" s="5" t="s">
        <v>41</v>
      </c>
      <c r="S11" s="5" t="s">
        <v>115</v>
      </c>
      <c r="T11" s="5" t="s">
        <v>43</v>
      </c>
      <c r="U11" s="5" t="s">
        <v>126</v>
      </c>
      <c r="V11" s="5" t="s">
        <v>135</v>
      </c>
      <c r="W11" s="5" t="s">
        <v>44</v>
      </c>
      <c r="X11" s="5" t="s">
        <v>135</v>
      </c>
      <c r="Y11" s="5" t="s">
        <v>62</v>
      </c>
      <c r="Z11" s="5" t="s">
        <v>48</v>
      </c>
      <c r="AA11" s="6" t="s">
        <v>136</v>
      </c>
      <c r="AB11" s="5" t="s">
        <v>137</v>
      </c>
      <c r="AC11" s="5" t="s">
        <v>138</v>
      </c>
      <c r="AD11" s="5"/>
      <c r="AE11" s="5"/>
      <c r="AF11" s="5"/>
      <c r="AG11" s="7"/>
    </row>
    <row r="12" spans="1:33" x14ac:dyDescent="0.4">
      <c r="A12" s="4">
        <v>14</v>
      </c>
      <c r="B12" s="5" t="s">
        <v>107</v>
      </c>
      <c r="C12" s="5" t="s">
        <v>139</v>
      </c>
      <c r="D12" s="5" t="s">
        <v>140</v>
      </c>
      <c r="E12" s="5" t="s">
        <v>141</v>
      </c>
      <c r="F12" s="5" t="s">
        <v>142</v>
      </c>
      <c r="G12" s="5" t="s">
        <v>38</v>
      </c>
      <c r="H12" s="5" t="s">
        <v>112</v>
      </c>
      <c r="I12" s="5" t="s">
        <v>143</v>
      </c>
      <c r="J12" s="5" t="s">
        <v>90</v>
      </c>
      <c r="K12" s="5" t="s">
        <v>114</v>
      </c>
      <c r="L12" s="5" t="s">
        <v>77</v>
      </c>
      <c r="M12" s="5">
        <v>0.75</v>
      </c>
      <c r="N12" s="5">
        <v>155</v>
      </c>
      <c r="O12" s="5">
        <v>0</v>
      </c>
      <c r="P12" s="5" t="s">
        <v>1098</v>
      </c>
      <c r="Q12" s="5" t="s">
        <v>1098</v>
      </c>
      <c r="R12" s="5" t="s">
        <v>1098</v>
      </c>
      <c r="S12" s="5" t="s">
        <v>1098</v>
      </c>
      <c r="T12" s="5" t="s">
        <v>78</v>
      </c>
      <c r="U12" s="5" t="s">
        <v>79</v>
      </c>
      <c r="V12" s="5" t="s">
        <v>80</v>
      </c>
      <c r="W12" s="5" t="s">
        <v>79</v>
      </c>
      <c r="X12" s="5" t="s">
        <v>80</v>
      </c>
      <c r="Y12" s="5">
        <v>0</v>
      </c>
      <c r="Z12" s="5" t="s">
        <v>48</v>
      </c>
      <c r="AA12" s="6" t="s">
        <v>82</v>
      </c>
      <c r="AB12" s="5"/>
      <c r="AC12" s="5"/>
      <c r="AD12" s="5"/>
      <c r="AE12" s="5"/>
      <c r="AF12" s="5"/>
      <c r="AG12" s="7"/>
    </row>
    <row r="13" spans="1:33" x14ac:dyDescent="0.4">
      <c r="A13" s="4">
        <v>15</v>
      </c>
      <c r="B13" s="5" t="s">
        <v>144</v>
      </c>
      <c r="C13" s="5" t="s">
        <v>145</v>
      </c>
      <c r="D13" s="5" t="s">
        <v>146</v>
      </c>
      <c r="E13" s="5" t="s">
        <v>147</v>
      </c>
      <c r="F13" s="5" t="s">
        <v>148</v>
      </c>
      <c r="G13" s="5" t="s">
        <v>33</v>
      </c>
      <c r="H13" s="5" t="s">
        <v>149</v>
      </c>
      <c r="I13" s="5" t="s">
        <v>150</v>
      </c>
      <c r="J13" s="5" t="s">
        <v>90</v>
      </c>
      <c r="K13" s="5" t="s">
        <v>151</v>
      </c>
      <c r="L13" s="5" t="s">
        <v>77</v>
      </c>
      <c r="M13" s="5">
        <v>0.75</v>
      </c>
      <c r="N13" s="5">
        <v>16</v>
      </c>
      <c r="O13" s="5">
        <v>526</v>
      </c>
      <c r="P13" s="5" t="s">
        <v>39</v>
      </c>
      <c r="Q13" s="5" t="s">
        <v>40</v>
      </c>
      <c r="R13" s="5" t="s">
        <v>41</v>
      </c>
      <c r="S13" s="5" t="s">
        <v>115</v>
      </c>
      <c r="T13" s="5" t="s">
        <v>43</v>
      </c>
      <c r="U13" s="5" t="s">
        <v>44</v>
      </c>
      <c r="V13" s="5" t="s">
        <v>152</v>
      </c>
      <c r="W13" s="5" t="s">
        <v>44</v>
      </c>
      <c r="X13" s="5" t="s">
        <v>152</v>
      </c>
      <c r="Y13" s="5" t="s">
        <v>62</v>
      </c>
      <c r="Z13" s="5" t="s">
        <v>153</v>
      </c>
      <c r="AA13" s="6" t="s">
        <v>154</v>
      </c>
      <c r="AB13" s="5" t="s">
        <v>155</v>
      </c>
      <c r="AC13" s="5" t="s">
        <v>156</v>
      </c>
      <c r="AD13" s="5"/>
      <c r="AE13" s="5"/>
      <c r="AF13" s="5"/>
      <c r="AG13" s="7"/>
    </row>
    <row r="14" spans="1:33" x14ac:dyDescent="0.4">
      <c r="A14" s="4">
        <v>16</v>
      </c>
      <c r="B14" s="5" t="s">
        <v>144</v>
      </c>
      <c r="C14" s="5" t="s">
        <v>145</v>
      </c>
      <c r="D14" s="5" t="s">
        <v>146</v>
      </c>
      <c r="E14" s="5" t="s">
        <v>157</v>
      </c>
      <c r="F14" s="5" t="s">
        <v>158</v>
      </c>
      <c r="G14" s="5" t="s">
        <v>33</v>
      </c>
      <c r="H14" s="5" t="s">
        <v>149</v>
      </c>
      <c r="I14" s="5" t="s">
        <v>159</v>
      </c>
      <c r="J14" s="5" t="s">
        <v>90</v>
      </c>
      <c r="K14" s="5" t="s">
        <v>151</v>
      </c>
      <c r="L14" s="5" t="s">
        <v>77</v>
      </c>
      <c r="M14" s="5">
        <v>0.75</v>
      </c>
      <c r="N14" s="5">
        <v>156</v>
      </c>
      <c r="O14" s="5">
        <v>0</v>
      </c>
      <c r="P14" s="5" t="s">
        <v>1098</v>
      </c>
      <c r="Q14" s="5" t="s">
        <v>1098</v>
      </c>
      <c r="R14" s="5" t="s">
        <v>1098</v>
      </c>
      <c r="S14" s="5" t="s">
        <v>1098</v>
      </c>
      <c r="T14" s="5" t="s">
        <v>160</v>
      </c>
      <c r="U14" s="5" t="s">
        <v>44</v>
      </c>
      <c r="V14" s="5" t="s">
        <v>161</v>
      </c>
      <c r="W14" s="5" t="s">
        <v>44</v>
      </c>
      <c r="X14" s="5" t="s">
        <v>162</v>
      </c>
      <c r="Y14" s="5">
        <v>0</v>
      </c>
      <c r="Z14" s="5" t="s">
        <v>153</v>
      </c>
      <c r="AA14" s="6" t="s">
        <v>154</v>
      </c>
      <c r="AB14" s="5"/>
      <c r="AC14" s="5"/>
      <c r="AD14" s="5"/>
      <c r="AE14" s="5"/>
      <c r="AF14" s="5"/>
      <c r="AG14" s="7"/>
    </row>
    <row r="15" spans="1:33" x14ac:dyDescent="0.4">
      <c r="A15" s="4">
        <v>17</v>
      </c>
      <c r="B15" s="5" t="s">
        <v>144</v>
      </c>
      <c r="C15" s="5" t="s">
        <v>145</v>
      </c>
      <c r="D15" s="5" t="s">
        <v>146</v>
      </c>
      <c r="E15" s="5" t="s">
        <v>163</v>
      </c>
      <c r="F15" s="5" t="s">
        <v>164</v>
      </c>
      <c r="G15" s="5" t="s">
        <v>33</v>
      </c>
      <c r="H15" s="5" t="s">
        <v>165</v>
      </c>
      <c r="I15" s="5" t="s">
        <v>166</v>
      </c>
      <c r="J15" s="5" t="s">
        <v>90</v>
      </c>
      <c r="K15" s="5" t="s">
        <v>151</v>
      </c>
      <c r="L15" s="5" t="s">
        <v>77</v>
      </c>
      <c r="M15" s="5">
        <v>0.75</v>
      </c>
      <c r="N15" s="5">
        <v>157</v>
      </c>
      <c r="O15" s="5">
        <v>0</v>
      </c>
      <c r="P15" s="5" t="s">
        <v>1098</v>
      </c>
      <c r="Q15" s="5" t="s">
        <v>1098</v>
      </c>
      <c r="R15" s="5" t="s">
        <v>1098</v>
      </c>
      <c r="S15" s="5" t="s">
        <v>1098</v>
      </c>
      <c r="T15" s="5" t="s">
        <v>160</v>
      </c>
      <c r="U15" s="5" t="s">
        <v>44</v>
      </c>
      <c r="V15" s="5" t="s">
        <v>161</v>
      </c>
      <c r="W15" s="5" t="s">
        <v>44</v>
      </c>
      <c r="X15" s="5" t="s">
        <v>162</v>
      </c>
      <c r="Y15" s="5">
        <v>0</v>
      </c>
      <c r="Z15" s="5" t="s">
        <v>153</v>
      </c>
      <c r="AA15" s="6" t="s">
        <v>154</v>
      </c>
      <c r="AB15" s="5"/>
      <c r="AC15" s="5"/>
      <c r="AD15" s="5"/>
      <c r="AE15" s="5"/>
      <c r="AF15" s="5"/>
      <c r="AG15" s="7"/>
    </row>
    <row r="16" spans="1:33" x14ac:dyDescent="0.4">
      <c r="A16" s="4">
        <v>18</v>
      </c>
      <c r="B16" s="5" t="s">
        <v>167</v>
      </c>
      <c r="C16" s="5" t="s">
        <v>168</v>
      </c>
      <c r="D16" s="5" t="s">
        <v>169</v>
      </c>
      <c r="E16" s="5" t="s">
        <v>170</v>
      </c>
      <c r="F16" s="5" t="s">
        <v>171</v>
      </c>
      <c r="G16" s="5" t="s">
        <v>33</v>
      </c>
      <c r="H16" s="5" t="s">
        <v>172</v>
      </c>
      <c r="I16" s="5" t="s">
        <v>173</v>
      </c>
      <c r="J16" s="5" t="s">
        <v>57</v>
      </c>
      <c r="K16" s="5" t="s">
        <v>174</v>
      </c>
      <c r="L16" s="5" t="s">
        <v>33</v>
      </c>
      <c r="M16" s="5">
        <v>0.5</v>
      </c>
      <c r="N16" s="5">
        <v>5</v>
      </c>
      <c r="O16" s="5">
        <v>1001</v>
      </c>
      <c r="P16" s="5" t="s">
        <v>39</v>
      </c>
      <c r="Q16" s="5" t="s">
        <v>40</v>
      </c>
      <c r="R16" s="5" t="s">
        <v>41</v>
      </c>
      <c r="S16" s="5" t="s">
        <v>175</v>
      </c>
      <c r="T16" s="5" t="s">
        <v>43</v>
      </c>
      <c r="U16" s="5" t="s">
        <v>44</v>
      </c>
      <c r="V16" s="5" t="s">
        <v>176</v>
      </c>
      <c r="W16" s="5" t="s">
        <v>44</v>
      </c>
      <c r="X16" s="5" t="s">
        <v>177</v>
      </c>
      <c r="Y16" s="5" t="s">
        <v>62</v>
      </c>
      <c r="Z16" s="5" t="s">
        <v>178</v>
      </c>
      <c r="AA16" s="6" t="s">
        <v>179</v>
      </c>
      <c r="AB16" s="5" t="s">
        <v>180</v>
      </c>
      <c r="AC16" s="5" t="s">
        <v>181</v>
      </c>
      <c r="AD16" s="5"/>
      <c r="AE16" s="5"/>
      <c r="AF16" s="5"/>
      <c r="AG16" s="7"/>
    </row>
    <row r="17" spans="1:33" x14ac:dyDescent="0.4">
      <c r="A17" s="4">
        <v>19</v>
      </c>
      <c r="B17" s="5" t="s">
        <v>167</v>
      </c>
      <c r="C17" s="5" t="s">
        <v>168</v>
      </c>
      <c r="D17" s="5" t="s">
        <v>182</v>
      </c>
      <c r="E17" s="5" t="s">
        <v>183</v>
      </c>
      <c r="F17" s="5" t="s">
        <v>184</v>
      </c>
      <c r="G17" s="5" t="s">
        <v>33</v>
      </c>
      <c r="H17" s="5" t="s">
        <v>172</v>
      </c>
      <c r="I17" s="5" t="s">
        <v>185</v>
      </c>
      <c r="J17" s="5" t="s">
        <v>90</v>
      </c>
      <c r="K17" s="5" t="s">
        <v>186</v>
      </c>
      <c r="L17" s="5" t="s">
        <v>33</v>
      </c>
      <c r="M17" s="5">
        <v>1.5</v>
      </c>
      <c r="N17" s="5">
        <v>15</v>
      </c>
      <c r="O17" s="5">
        <v>911</v>
      </c>
      <c r="P17" s="5" t="s">
        <v>39</v>
      </c>
      <c r="Q17" s="5" t="s">
        <v>40</v>
      </c>
      <c r="R17" s="5" t="s">
        <v>41</v>
      </c>
      <c r="S17" s="5" t="s">
        <v>115</v>
      </c>
      <c r="T17" s="5" t="s">
        <v>43</v>
      </c>
      <c r="U17" s="5" t="s">
        <v>44</v>
      </c>
      <c r="V17" s="5" t="s">
        <v>187</v>
      </c>
      <c r="W17" s="5" t="s">
        <v>44</v>
      </c>
      <c r="X17" s="5" t="s">
        <v>188</v>
      </c>
      <c r="Y17" s="5" t="s">
        <v>62</v>
      </c>
      <c r="Z17" s="5" t="s">
        <v>178</v>
      </c>
      <c r="AA17" s="6" t="s">
        <v>179</v>
      </c>
      <c r="AB17" s="5" t="s">
        <v>189</v>
      </c>
      <c r="AC17" s="5" t="s">
        <v>190</v>
      </c>
      <c r="AD17" s="5"/>
      <c r="AE17" s="5"/>
      <c r="AF17" s="5"/>
      <c r="AG17" s="7"/>
    </row>
    <row r="18" spans="1:33" x14ac:dyDescent="0.4">
      <c r="A18" s="4">
        <v>20</v>
      </c>
      <c r="B18" s="5" t="s">
        <v>167</v>
      </c>
      <c r="C18" s="5" t="s">
        <v>168</v>
      </c>
      <c r="D18" s="5" t="s">
        <v>191</v>
      </c>
      <c r="E18" s="5" t="s">
        <v>192</v>
      </c>
      <c r="F18" s="5" t="s">
        <v>193</v>
      </c>
      <c r="G18" s="5" t="s">
        <v>33</v>
      </c>
      <c r="H18" s="5" t="s">
        <v>172</v>
      </c>
      <c r="I18" s="5" t="s">
        <v>194</v>
      </c>
      <c r="J18" s="5" t="s">
        <v>57</v>
      </c>
      <c r="K18" s="5" t="s">
        <v>174</v>
      </c>
      <c r="L18" s="5" t="s">
        <v>33</v>
      </c>
      <c r="M18" s="5">
        <v>0.5</v>
      </c>
      <c r="N18" s="5">
        <v>4</v>
      </c>
      <c r="O18" s="5">
        <v>168</v>
      </c>
      <c r="P18" s="5" t="s">
        <v>39</v>
      </c>
      <c r="Q18" s="5" t="s">
        <v>40</v>
      </c>
      <c r="R18" s="5" t="s">
        <v>41</v>
      </c>
      <c r="S18" s="5" t="s">
        <v>175</v>
      </c>
      <c r="T18" s="5" t="s">
        <v>43</v>
      </c>
      <c r="U18" s="5" t="s">
        <v>44</v>
      </c>
      <c r="V18" s="5" t="s">
        <v>176</v>
      </c>
      <c r="W18" s="5" t="s">
        <v>44</v>
      </c>
      <c r="X18" s="5" t="s">
        <v>177</v>
      </c>
      <c r="Y18" s="5" t="s">
        <v>62</v>
      </c>
      <c r="Z18" s="5" t="s">
        <v>178</v>
      </c>
      <c r="AA18" s="6" t="s">
        <v>179</v>
      </c>
      <c r="AB18" s="5" t="s">
        <v>195</v>
      </c>
      <c r="AC18" s="5" t="s">
        <v>196</v>
      </c>
      <c r="AD18" s="5"/>
      <c r="AE18" s="5"/>
      <c r="AF18" s="5"/>
      <c r="AG18" s="7"/>
    </row>
    <row r="19" spans="1:33" x14ac:dyDescent="0.4">
      <c r="A19" s="4">
        <v>21</v>
      </c>
      <c r="B19" s="5" t="s">
        <v>167</v>
      </c>
      <c r="C19" s="5" t="s">
        <v>168</v>
      </c>
      <c r="D19" s="5" t="s">
        <v>197</v>
      </c>
      <c r="E19" s="5" t="s">
        <v>198</v>
      </c>
      <c r="F19" s="5" t="s">
        <v>199</v>
      </c>
      <c r="G19" s="5" t="s">
        <v>33</v>
      </c>
      <c r="H19" s="5" t="s">
        <v>172</v>
      </c>
      <c r="I19" s="5" t="s">
        <v>200</v>
      </c>
      <c r="J19" s="5" t="s">
        <v>57</v>
      </c>
      <c r="K19" s="5" t="s">
        <v>174</v>
      </c>
      <c r="L19" s="5" t="s">
        <v>33</v>
      </c>
      <c r="M19" s="5">
        <v>0.5</v>
      </c>
      <c r="N19" s="5">
        <v>6</v>
      </c>
      <c r="O19" s="5">
        <v>4830</v>
      </c>
      <c r="P19" s="5" t="s">
        <v>39</v>
      </c>
      <c r="Q19" s="5" t="s">
        <v>40</v>
      </c>
      <c r="R19" s="5" t="s">
        <v>41</v>
      </c>
      <c r="S19" s="5" t="s">
        <v>175</v>
      </c>
      <c r="T19" s="5" t="s">
        <v>43</v>
      </c>
      <c r="U19" s="5" t="s">
        <v>44</v>
      </c>
      <c r="V19" s="5" t="s">
        <v>176</v>
      </c>
      <c r="W19" s="5" t="s">
        <v>44</v>
      </c>
      <c r="X19" s="5" t="s">
        <v>177</v>
      </c>
      <c r="Y19" s="5" t="s">
        <v>62</v>
      </c>
      <c r="Z19" s="5" t="s">
        <v>178</v>
      </c>
      <c r="AA19" s="6" t="s">
        <v>179</v>
      </c>
      <c r="AB19" s="5" t="s">
        <v>201</v>
      </c>
      <c r="AC19" s="5" t="s">
        <v>202</v>
      </c>
      <c r="AD19" s="5"/>
      <c r="AE19" s="5"/>
      <c r="AF19" s="5"/>
      <c r="AG19" s="7"/>
    </row>
    <row r="20" spans="1:33" x14ac:dyDescent="0.4">
      <c r="A20" s="4">
        <v>22</v>
      </c>
      <c r="B20" s="5" t="s">
        <v>203</v>
      </c>
      <c r="C20" s="5" t="s">
        <v>204</v>
      </c>
      <c r="D20" s="5" t="s">
        <v>205</v>
      </c>
      <c r="E20" s="5" t="s">
        <v>206</v>
      </c>
      <c r="F20" s="5" t="s">
        <v>207</v>
      </c>
      <c r="G20" s="5" t="s">
        <v>77</v>
      </c>
      <c r="H20" s="5" t="s">
        <v>208</v>
      </c>
      <c r="I20" s="5" t="s">
        <v>209</v>
      </c>
      <c r="J20" s="5" t="s">
        <v>57</v>
      </c>
      <c r="K20" s="5" t="s">
        <v>210</v>
      </c>
      <c r="L20" s="5" t="s">
        <v>77</v>
      </c>
      <c r="M20" s="5">
        <v>0.4</v>
      </c>
      <c r="N20" s="5">
        <v>13</v>
      </c>
      <c r="O20" s="5">
        <v>25025</v>
      </c>
      <c r="P20" s="5" t="s">
        <v>39</v>
      </c>
      <c r="Q20" s="5" t="s">
        <v>40</v>
      </c>
      <c r="R20" s="5" t="s">
        <v>41</v>
      </c>
      <c r="S20" s="5" t="s">
        <v>211</v>
      </c>
      <c r="T20" s="5" t="s">
        <v>43</v>
      </c>
      <c r="U20" s="5" t="s">
        <v>212</v>
      </c>
      <c r="V20" s="5" t="s">
        <v>212</v>
      </c>
      <c r="W20" s="5" t="s">
        <v>44</v>
      </c>
      <c r="X20" s="5" t="s">
        <v>44</v>
      </c>
      <c r="Y20" s="5" t="s">
        <v>62</v>
      </c>
      <c r="Z20" s="5" t="s">
        <v>213</v>
      </c>
      <c r="AA20" s="6" t="s">
        <v>214</v>
      </c>
      <c r="AB20" s="5" t="s">
        <v>215</v>
      </c>
      <c r="AC20" s="5" t="s">
        <v>216</v>
      </c>
      <c r="AD20" s="5"/>
      <c r="AE20" s="5"/>
      <c r="AF20" s="5"/>
      <c r="AG20" s="7"/>
    </row>
    <row r="21" spans="1:33" x14ac:dyDescent="0.4">
      <c r="A21" s="4">
        <v>23</v>
      </c>
      <c r="B21" s="5" t="s">
        <v>203</v>
      </c>
      <c r="C21" s="5" t="s">
        <v>217</v>
      </c>
      <c r="D21" s="5" t="s">
        <v>218</v>
      </c>
      <c r="E21" s="5" t="s">
        <v>219</v>
      </c>
      <c r="F21" s="5" t="s">
        <v>220</v>
      </c>
      <c r="G21" s="5" t="s">
        <v>77</v>
      </c>
      <c r="H21" s="5" t="s">
        <v>221</v>
      </c>
      <c r="I21" s="5" t="s">
        <v>222</v>
      </c>
      <c r="J21" s="5" t="s">
        <v>223</v>
      </c>
      <c r="K21" s="5" t="s">
        <v>224</v>
      </c>
      <c r="L21" s="5" t="s">
        <v>77</v>
      </c>
      <c r="M21" s="5">
        <v>0.1</v>
      </c>
      <c r="N21" s="5">
        <v>2</v>
      </c>
      <c r="O21" s="5">
        <v>1</v>
      </c>
      <c r="P21" s="5" t="s">
        <v>39</v>
      </c>
      <c r="Q21" s="5" t="s">
        <v>40</v>
      </c>
      <c r="R21" s="5" t="s">
        <v>41</v>
      </c>
      <c r="S21" s="5" t="s">
        <v>225</v>
      </c>
      <c r="T21" s="5" t="s">
        <v>43</v>
      </c>
      <c r="U21" s="5" t="s">
        <v>44</v>
      </c>
      <c r="V21" s="5" t="s">
        <v>226</v>
      </c>
      <c r="W21" s="5" t="s">
        <v>44</v>
      </c>
      <c r="X21" s="5" t="s">
        <v>227</v>
      </c>
      <c r="Y21" s="5" t="s">
        <v>47</v>
      </c>
      <c r="Z21" s="5" t="s">
        <v>213</v>
      </c>
      <c r="AA21" s="6" t="s">
        <v>228</v>
      </c>
      <c r="AB21" s="5" t="s">
        <v>229</v>
      </c>
      <c r="AC21" s="5" t="s">
        <v>230</v>
      </c>
      <c r="AD21" s="5"/>
      <c r="AE21" s="5"/>
      <c r="AF21" s="5"/>
      <c r="AG21" s="7"/>
    </row>
    <row r="22" spans="1:33" x14ac:dyDescent="0.4">
      <c r="A22" s="4">
        <v>24</v>
      </c>
      <c r="B22" s="5" t="s">
        <v>203</v>
      </c>
      <c r="C22" s="5" t="s">
        <v>204</v>
      </c>
      <c r="D22" s="5" t="s">
        <v>231</v>
      </c>
      <c r="E22" s="5" t="s">
        <v>232</v>
      </c>
      <c r="F22" s="5" t="s">
        <v>233</v>
      </c>
      <c r="G22" s="5" t="s">
        <v>77</v>
      </c>
      <c r="H22" s="5" t="s">
        <v>208</v>
      </c>
      <c r="I22" s="5" t="s">
        <v>234</v>
      </c>
      <c r="J22" s="5" t="s">
        <v>57</v>
      </c>
      <c r="K22" s="5" t="s">
        <v>210</v>
      </c>
      <c r="L22" s="5" t="s">
        <v>77</v>
      </c>
      <c r="M22" s="5">
        <v>0.4</v>
      </c>
      <c r="N22" s="5">
        <v>12</v>
      </c>
      <c r="O22" s="5">
        <v>7</v>
      </c>
      <c r="P22" s="5" t="s">
        <v>39</v>
      </c>
      <c r="Q22" s="5" t="s">
        <v>40</v>
      </c>
      <c r="R22" s="5" t="s">
        <v>41</v>
      </c>
      <c r="S22" s="5" t="s">
        <v>211</v>
      </c>
      <c r="T22" s="5" t="s">
        <v>43</v>
      </c>
      <c r="U22" s="5" t="s">
        <v>44</v>
      </c>
      <c r="V22" s="5" t="s">
        <v>44</v>
      </c>
      <c r="W22" s="5" t="s">
        <v>44</v>
      </c>
      <c r="X22" s="5" t="s">
        <v>44</v>
      </c>
      <c r="Y22" s="5" t="s">
        <v>62</v>
      </c>
      <c r="Z22" s="5" t="s">
        <v>213</v>
      </c>
      <c r="AA22" s="6" t="s">
        <v>214</v>
      </c>
      <c r="AB22" s="5" t="s">
        <v>235</v>
      </c>
      <c r="AC22" s="5" t="s">
        <v>236</v>
      </c>
      <c r="AD22" s="5"/>
      <c r="AE22" s="5"/>
      <c r="AF22" s="5"/>
      <c r="AG22" s="7"/>
    </row>
    <row r="23" spans="1:33" x14ac:dyDescent="0.4">
      <c r="A23" s="4">
        <v>25</v>
      </c>
      <c r="B23" s="5" t="s">
        <v>237</v>
      </c>
      <c r="C23" s="5" t="s">
        <v>238</v>
      </c>
      <c r="D23" s="5" t="s">
        <v>239</v>
      </c>
      <c r="E23" s="5" t="s">
        <v>240</v>
      </c>
      <c r="F23" s="5" t="s">
        <v>241</v>
      </c>
      <c r="G23" s="5" t="s">
        <v>38</v>
      </c>
      <c r="H23" s="5" t="s">
        <v>242</v>
      </c>
      <c r="I23" s="5" t="s">
        <v>243</v>
      </c>
      <c r="J23" s="5" t="s">
        <v>90</v>
      </c>
      <c r="K23" s="5" t="s">
        <v>151</v>
      </c>
      <c r="L23" s="5" t="s">
        <v>33</v>
      </c>
      <c r="M23" s="5">
        <v>1.5</v>
      </c>
      <c r="N23" s="5">
        <v>158</v>
      </c>
      <c r="O23" s="5">
        <v>0</v>
      </c>
      <c r="P23" s="5" t="s">
        <v>1098</v>
      </c>
      <c r="Q23" s="5" t="s">
        <v>1098</v>
      </c>
      <c r="R23" s="5" t="s">
        <v>1098</v>
      </c>
      <c r="S23" s="5" t="s">
        <v>1098</v>
      </c>
      <c r="T23" s="5" t="s">
        <v>78</v>
      </c>
      <c r="U23" s="5" t="s">
        <v>79</v>
      </c>
      <c r="V23" s="5" t="s">
        <v>80</v>
      </c>
      <c r="W23" s="5" t="s">
        <v>79</v>
      </c>
      <c r="X23" s="5" t="s">
        <v>80</v>
      </c>
      <c r="Y23" s="5">
        <v>0</v>
      </c>
      <c r="Z23" s="5" t="s">
        <v>153</v>
      </c>
      <c r="AA23" s="6" t="s">
        <v>82</v>
      </c>
      <c r="AB23" s="5"/>
      <c r="AC23" s="5"/>
      <c r="AD23" s="5"/>
      <c r="AE23" s="5"/>
      <c r="AF23" s="5"/>
      <c r="AG23" s="7"/>
    </row>
    <row r="24" spans="1:33" x14ac:dyDescent="0.4">
      <c r="A24" s="4">
        <v>26</v>
      </c>
      <c r="B24" s="5" t="s">
        <v>237</v>
      </c>
      <c r="C24" s="5" t="s">
        <v>108</v>
      </c>
      <c r="D24" s="5" t="s">
        <v>244</v>
      </c>
      <c r="E24" s="5" t="s">
        <v>245</v>
      </c>
      <c r="F24" s="5" t="s">
        <v>246</v>
      </c>
      <c r="G24" s="5" t="s">
        <v>72</v>
      </c>
      <c r="H24" s="5" t="s">
        <v>112</v>
      </c>
      <c r="I24" s="5" t="s">
        <v>247</v>
      </c>
      <c r="J24" s="5" t="s">
        <v>90</v>
      </c>
      <c r="K24" s="5" t="s">
        <v>248</v>
      </c>
      <c r="L24" s="5" t="s">
        <v>38</v>
      </c>
      <c r="M24" s="5">
        <v>3</v>
      </c>
      <c r="N24" s="5">
        <v>84</v>
      </c>
      <c r="O24" s="5">
        <v>1</v>
      </c>
      <c r="P24" s="5" t="s">
        <v>39</v>
      </c>
      <c r="Q24" s="5" t="s">
        <v>249</v>
      </c>
      <c r="R24" s="5" t="s">
        <v>250</v>
      </c>
      <c r="S24" s="5" t="s">
        <v>225</v>
      </c>
      <c r="T24" s="5" t="s">
        <v>251</v>
      </c>
      <c r="U24" s="5" t="s">
        <v>252</v>
      </c>
      <c r="V24" s="5" t="s">
        <v>253</v>
      </c>
      <c r="W24" s="5" t="s">
        <v>254</v>
      </c>
      <c r="X24" s="5" t="s">
        <v>255</v>
      </c>
      <c r="Y24" s="5" t="s">
        <v>256</v>
      </c>
      <c r="Z24" s="5" t="s">
        <v>257</v>
      </c>
      <c r="AA24" s="6" t="s">
        <v>258</v>
      </c>
      <c r="AB24" s="5" t="s">
        <v>259</v>
      </c>
      <c r="AC24" s="5" t="s">
        <v>260</v>
      </c>
      <c r="AD24" s="5"/>
      <c r="AE24" s="5"/>
      <c r="AF24" s="5"/>
      <c r="AG24" s="7"/>
    </row>
    <row r="25" spans="1:33" x14ac:dyDescent="0.4">
      <c r="A25" s="4">
        <v>27</v>
      </c>
      <c r="B25" s="5" t="s">
        <v>237</v>
      </c>
      <c r="C25" s="5" t="s">
        <v>29</v>
      </c>
      <c r="D25" s="5" t="s">
        <v>261</v>
      </c>
      <c r="E25" s="5" t="s">
        <v>262</v>
      </c>
      <c r="F25" s="5" t="s">
        <v>263</v>
      </c>
      <c r="G25" s="5" t="s">
        <v>38</v>
      </c>
      <c r="H25" s="5" t="s">
        <v>34</v>
      </c>
      <c r="I25" s="5" t="s">
        <v>264</v>
      </c>
      <c r="J25" s="5" t="s">
        <v>36</v>
      </c>
      <c r="K25" s="5" t="s">
        <v>265</v>
      </c>
      <c r="L25" s="5" t="s">
        <v>38</v>
      </c>
      <c r="M25" s="5">
        <v>4</v>
      </c>
      <c r="N25" s="5">
        <v>159</v>
      </c>
      <c r="O25" s="5">
        <v>0</v>
      </c>
      <c r="P25" s="5" t="s">
        <v>1098</v>
      </c>
      <c r="Q25" s="5" t="s">
        <v>1098</v>
      </c>
      <c r="R25" s="5" t="s">
        <v>1098</v>
      </c>
      <c r="S25" s="5" t="s">
        <v>1098</v>
      </c>
      <c r="T25" s="5" t="s">
        <v>78</v>
      </c>
      <c r="U25" s="5" t="s">
        <v>79</v>
      </c>
      <c r="V25" s="5" t="s">
        <v>80</v>
      </c>
      <c r="W25" s="5" t="s">
        <v>79</v>
      </c>
      <c r="X25" s="5" t="s">
        <v>80</v>
      </c>
      <c r="Y25" s="5">
        <v>0</v>
      </c>
      <c r="Z25" s="5" t="s">
        <v>48</v>
      </c>
      <c r="AA25" s="6" t="s">
        <v>82</v>
      </c>
      <c r="AB25" s="5"/>
      <c r="AC25" s="5"/>
      <c r="AD25" s="5"/>
      <c r="AE25" s="5"/>
      <c r="AF25" s="5"/>
      <c r="AG25" s="7"/>
    </row>
    <row r="26" spans="1:33" x14ac:dyDescent="0.4">
      <c r="A26" s="4">
        <v>28</v>
      </c>
      <c r="B26" s="5" t="s">
        <v>237</v>
      </c>
      <c r="C26" s="5" t="s">
        <v>266</v>
      </c>
      <c r="D26" s="5" t="s">
        <v>267</v>
      </c>
      <c r="E26" s="5" t="s">
        <v>268</v>
      </c>
      <c r="F26" s="5" t="s">
        <v>269</v>
      </c>
      <c r="G26" s="5" t="s">
        <v>33</v>
      </c>
      <c r="H26" s="5" t="s">
        <v>149</v>
      </c>
      <c r="I26" s="5" t="s">
        <v>270</v>
      </c>
      <c r="J26" s="5" t="s">
        <v>90</v>
      </c>
      <c r="K26" s="5" t="s">
        <v>151</v>
      </c>
      <c r="L26" s="5" t="s">
        <v>33</v>
      </c>
      <c r="M26" s="5">
        <v>1.5</v>
      </c>
      <c r="N26" s="5">
        <v>160</v>
      </c>
      <c r="O26" s="5">
        <v>0</v>
      </c>
      <c r="P26" s="5" t="s">
        <v>1098</v>
      </c>
      <c r="Q26" s="5" t="s">
        <v>1098</v>
      </c>
      <c r="R26" s="5" t="s">
        <v>1098</v>
      </c>
      <c r="S26" s="5" t="s">
        <v>1098</v>
      </c>
      <c r="T26" s="5" t="s">
        <v>78</v>
      </c>
      <c r="U26" s="5" t="s">
        <v>79</v>
      </c>
      <c r="V26" s="5" t="s">
        <v>80</v>
      </c>
      <c r="W26" s="5" t="s">
        <v>79</v>
      </c>
      <c r="X26" s="5" t="s">
        <v>80</v>
      </c>
      <c r="Y26" s="5">
        <v>0</v>
      </c>
      <c r="Z26" s="5" t="s">
        <v>153</v>
      </c>
      <c r="AA26" s="6" t="s">
        <v>82</v>
      </c>
      <c r="AB26" s="5"/>
      <c r="AC26" s="5"/>
      <c r="AD26" s="5"/>
      <c r="AE26" s="5"/>
      <c r="AF26" s="5"/>
      <c r="AG26" s="7"/>
    </row>
    <row r="27" spans="1:33" x14ac:dyDescent="0.4">
      <c r="A27" s="4">
        <v>29</v>
      </c>
      <c r="B27" s="5" t="s">
        <v>237</v>
      </c>
      <c r="C27" s="5" t="s">
        <v>68</v>
      </c>
      <c r="D27" s="5" t="s">
        <v>271</v>
      </c>
      <c r="E27" s="5" t="s">
        <v>272</v>
      </c>
      <c r="F27" s="5" t="s">
        <v>273</v>
      </c>
      <c r="G27" s="5" t="s">
        <v>38</v>
      </c>
      <c r="H27" s="5" t="s">
        <v>34</v>
      </c>
      <c r="I27" s="5" t="s">
        <v>274</v>
      </c>
      <c r="J27" s="5" t="s">
        <v>90</v>
      </c>
      <c r="K27" s="5" t="s">
        <v>151</v>
      </c>
      <c r="L27" s="5" t="s">
        <v>77</v>
      </c>
      <c r="M27" s="5">
        <v>0.75</v>
      </c>
      <c r="N27" s="5">
        <v>161</v>
      </c>
      <c r="O27" s="5">
        <v>0</v>
      </c>
      <c r="P27" s="5" t="s">
        <v>1098</v>
      </c>
      <c r="Q27" s="5" t="s">
        <v>1098</v>
      </c>
      <c r="R27" s="5" t="s">
        <v>1098</v>
      </c>
      <c r="S27" s="5" t="s">
        <v>1098</v>
      </c>
      <c r="T27" s="5" t="s">
        <v>78</v>
      </c>
      <c r="U27" s="5" t="s">
        <v>79</v>
      </c>
      <c r="V27" s="5" t="s">
        <v>80</v>
      </c>
      <c r="W27" s="5" t="s">
        <v>79</v>
      </c>
      <c r="X27" s="5" t="s">
        <v>80</v>
      </c>
      <c r="Y27" s="5">
        <v>0</v>
      </c>
      <c r="Z27" s="5" t="s">
        <v>153</v>
      </c>
      <c r="AA27" s="6" t="s">
        <v>82</v>
      </c>
      <c r="AB27" s="5"/>
      <c r="AC27" s="5"/>
      <c r="AD27" s="5"/>
      <c r="AE27" s="5"/>
      <c r="AF27" s="5"/>
      <c r="AG27" s="7"/>
    </row>
    <row r="28" spans="1:33" x14ac:dyDescent="0.4">
      <c r="A28" s="4">
        <v>30</v>
      </c>
      <c r="B28" s="5" t="s">
        <v>275</v>
      </c>
      <c r="C28" s="5" t="s">
        <v>276</v>
      </c>
      <c r="D28" s="5" t="s">
        <v>277</v>
      </c>
      <c r="E28" s="5" t="s">
        <v>278</v>
      </c>
      <c r="F28" s="5" t="s">
        <v>279</v>
      </c>
      <c r="G28" s="5" t="s">
        <v>38</v>
      </c>
      <c r="H28" s="5" t="s">
        <v>280</v>
      </c>
      <c r="I28" s="5" t="s">
        <v>281</v>
      </c>
      <c r="J28" s="5" t="s">
        <v>90</v>
      </c>
      <c r="K28" s="5" t="s">
        <v>151</v>
      </c>
      <c r="L28" s="5" t="s">
        <v>33</v>
      </c>
      <c r="M28" s="5">
        <v>1.5</v>
      </c>
      <c r="N28" s="5">
        <v>17</v>
      </c>
      <c r="O28" s="5">
        <v>9</v>
      </c>
      <c r="P28" s="5" t="s">
        <v>39</v>
      </c>
      <c r="Q28" s="5" t="s">
        <v>40</v>
      </c>
      <c r="R28" s="5" t="s">
        <v>41</v>
      </c>
      <c r="S28" s="5" t="s">
        <v>115</v>
      </c>
      <c r="T28" s="5" t="s">
        <v>43</v>
      </c>
      <c r="U28" s="5" t="s">
        <v>44</v>
      </c>
      <c r="V28" s="5" t="s">
        <v>282</v>
      </c>
      <c r="W28" s="5" t="s">
        <v>44</v>
      </c>
      <c r="X28" s="5" t="s">
        <v>283</v>
      </c>
      <c r="Y28" s="5" t="s">
        <v>119</v>
      </c>
      <c r="Z28" s="5" t="s">
        <v>153</v>
      </c>
      <c r="AA28" s="6" t="s">
        <v>284</v>
      </c>
      <c r="AB28" s="5" t="s">
        <v>285</v>
      </c>
      <c r="AC28" s="5" t="s">
        <v>286</v>
      </c>
      <c r="AD28" s="5"/>
      <c r="AE28" s="5"/>
      <c r="AF28" s="5"/>
      <c r="AG28" s="7"/>
    </row>
    <row r="29" spans="1:33" x14ac:dyDescent="0.4">
      <c r="A29" s="4">
        <v>31</v>
      </c>
      <c r="B29" s="5" t="s">
        <v>275</v>
      </c>
      <c r="C29" s="5" t="s">
        <v>276</v>
      </c>
      <c r="D29" s="5" t="s">
        <v>287</v>
      </c>
      <c r="E29" s="5" t="s">
        <v>288</v>
      </c>
      <c r="F29" s="5" t="s">
        <v>289</v>
      </c>
      <c r="G29" s="5" t="s">
        <v>33</v>
      </c>
      <c r="H29" s="5" t="s">
        <v>280</v>
      </c>
      <c r="I29" s="5" t="s">
        <v>290</v>
      </c>
      <c r="J29" s="5" t="s">
        <v>75</v>
      </c>
      <c r="K29" s="5" t="s">
        <v>76</v>
      </c>
      <c r="L29" s="5" t="s">
        <v>77</v>
      </c>
      <c r="M29" s="5">
        <v>0.25</v>
      </c>
      <c r="N29" s="5">
        <v>162</v>
      </c>
      <c r="O29" s="5">
        <v>0</v>
      </c>
      <c r="P29" s="5" t="s">
        <v>1098</v>
      </c>
      <c r="Q29" s="5" t="s">
        <v>1098</v>
      </c>
      <c r="R29" s="5" t="s">
        <v>1098</v>
      </c>
      <c r="S29" s="5" t="s">
        <v>1098</v>
      </c>
      <c r="T29" s="5" t="s">
        <v>78</v>
      </c>
      <c r="U29" s="5" t="s">
        <v>79</v>
      </c>
      <c r="V29" s="5" t="s">
        <v>80</v>
      </c>
      <c r="W29" s="5" t="s">
        <v>79</v>
      </c>
      <c r="X29" s="5" t="s">
        <v>80</v>
      </c>
      <c r="Y29" s="5">
        <v>0</v>
      </c>
      <c r="Z29" s="5" t="s">
        <v>291</v>
      </c>
      <c r="AA29" s="6" t="s">
        <v>82</v>
      </c>
      <c r="AB29" s="5"/>
      <c r="AC29" s="5"/>
      <c r="AD29" s="5"/>
      <c r="AE29" s="5"/>
      <c r="AF29" s="5"/>
      <c r="AG29" s="7"/>
    </row>
    <row r="30" spans="1:33" x14ac:dyDescent="0.4">
      <c r="A30" s="4">
        <v>32</v>
      </c>
      <c r="B30" s="5" t="s">
        <v>275</v>
      </c>
      <c r="C30" s="5" t="s">
        <v>292</v>
      </c>
      <c r="D30" s="5" t="s">
        <v>293</v>
      </c>
      <c r="E30" s="5" t="s">
        <v>294</v>
      </c>
      <c r="F30" s="5" t="s">
        <v>295</v>
      </c>
      <c r="G30" s="5" t="s">
        <v>33</v>
      </c>
      <c r="H30" s="5" t="s">
        <v>280</v>
      </c>
      <c r="I30" s="5" t="s">
        <v>296</v>
      </c>
      <c r="J30" s="5" t="s">
        <v>90</v>
      </c>
      <c r="K30" s="5" t="s">
        <v>151</v>
      </c>
      <c r="L30" s="5" t="s">
        <v>77</v>
      </c>
      <c r="M30" s="5">
        <v>0.75</v>
      </c>
      <c r="N30" s="5">
        <v>163</v>
      </c>
      <c r="O30" s="5">
        <v>0</v>
      </c>
      <c r="P30" s="5" t="s">
        <v>1098</v>
      </c>
      <c r="Q30" s="5" t="s">
        <v>1098</v>
      </c>
      <c r="R30" s="5" t="s">
        <v>1098</v>
      </c>
      <c r="S30" s="5" t="s">
        <v>1098</v>
      </c>
      <c r="T30" s="5" t="s">
        <v>78</v>
      </c>
      <c r="U30" s="5" t="s">
        <v>79</v>
      </c>
      <c r="V30" s="5" t="s">
        <v>80</v>
      </c>
      <c r="W30" s="5" t="s">
        <v>79</v>
      </c>
      <c r="X30" s="5" t="s">
        <v>80</v>
      </c>
      <c r="Y30" s="5">
        <v>0</v>
      </c>
      <c r="Z30" s="5" t="s">
        <v>153</v>
      </c>
      <c r="AA30" s="6" t="s">
        <v>82</v>
      </c>
      <c r="AB30" s="5"/>
      <c r="AC30" s="5"/>
      <c r="AD30" s="5"/>
      <c r="AE30" s="5"/>
      <c r="AF30" s="5"/>
      <c r="AG30" s="7"/>
    </row>
    <row r="31" spans="1:33" x14ac:dyDescent="0.4">
      <c r="A31" s="4">
        <v>52</v>
      </c>
      <c r="B31" s="5" t="s">
        <v>144</v>
      </c>
      <c r="C31" s="5" t="s">
        <v>297</v>
      </c>
      <c r="D31" s="5" t="s">
        <v>298</v>
      </c>
      <c r="E31" s="5" t="s">
        <v>299</v>
      </c>
      <c r="F31" s="5" t="s">
        <v>300</v>
      </c>
      <c r="G31" s="5" t="s">
        <v>77</v>
      </c>
      <c r="H31" s="5" t="s">
        <v>165</v>
      </c>
      <c r="I31" s="5" t="s">
        <v>301</v>
      </c>
      <c r="J31" s="5" t="s">
        <v>90</v>
      </c>
      <c r="K31" s="5" t="s">
        <v>302</v>
      </c>
      <c r="L31" s="5" t="s">
        <v>33</v>
      </c>
      <c r="M31" s="5">
        <v>1.5</v>
      </c>
      <c r="N31" s="5">
        <v>85</v>
      </c>
      <c r="O31" s="5">
        <v>94847</v>
      </c>
      <c r="P31" s="5" t="s">
        <v>39</v>
      </c>
      <c r="Q31" s="5" t="s">
        <v>249</v>
      </c>
      <c r="R31" s="5" t="s">
        <v>250</v>
      </c>
      <c r="S31" s="5" t="s">
        <v>225</v>
      </c>
      <c r="T31" s="5" t="s">
        <v>251</v>
      </c>
      <c r="U31" s="5" t="s">
        <v>303</v>
      </c>
      <c r="V31" s="5" t="s">
        <v>304</v>
      </c>
      <c r="W31" s="5" t="s">
        <v>305</v>
      </c>
      <c r="X31" s="5" t="s">
        <v>306</v>
      </c>
      <c r="Y31" s="5" t="s">
        <v>307</v>
      </c>
      <c r="Z31" s="5" t="s">
        <v>99</v>
      </c>
      <c r="AA31" s="6" t="s">
        <v>258</v>
      </c>
      <c r="AB31" s="5" t="s">
        <v>308</v>
      </c>
      <c r="AC31" s="5" t="s">
        <v>309</v>
      </c>
      <c r="AD31" s="5"/>
      <c r="AE31" s="5"/>
      <c r="AF31" s="5"/>
      <c r="AG31" s="7"/>
    </row>
    <row r="32" spans="1:33" x14ac:dyDescent="0.4">
      <c r="A32" s="4">
        <v>58</v>
      </c>
      <c r="B32" s="5" t="s">
        <v>67</v>
      </c>
      <c r="C32" s="5" t="s">
        <v>297</v>
      </c>
      <c r="D32" s="5" t="s">
        <v>310</v>
      </c>
      <c r="E32" s="5" t="s">
        <v>311</v>
      </c>
      <c r="F32" s="5" t="s">
        <v>312</v>
      </c>
      <c r="G32" s="5" t="s">
        <v>38</v>
      </c>
      <c r="H32" s="5" t="s">
        <v>73</v>
      </c>
      <c r="I32" s="5" t="s">
        <v>313</v>
      </c>
      <c r="J32" s="5" t="s">
        <v>75</v>
      </c>
      <c r="K32" s="5" t="s">
        <v>314</v>
      </c>
      <c r="L32" s="5" t="s">
        <v>77</v>
      </c>
      <c r="M32" s="5">
        <v>0.25</v>
      </c>
      <c r="N32" s="5">
        <v>1</v>
      </c>
      <c r="O32" s="5">
        <v>247</v>
      </c>
      <c r="P32" s="5" t="s">
        <v>39</v>
      </c>
      <c r="Q32" s="5" t="s">
        <v>40</v>
      </c>
      <c r="R32" s="5" t="s">
        <v>41</v>
      </c>
      <c r="S32" s="5" t="s">
        <v>225</v>
      </c>
      <c r="T32" s="5" t="s">
        <v>43</v>
      </c>
      <c r="U32" s="5" t="s">
        <v>44</v>
      </c>
      <c r="V32" s="5" t="s">
        <v>315</v>
      </c>
      <c r="W32" s="5" t="s">
        <v>44</v>
      </c>
      <c r="X32" s="5" t="s">
        <v>44</v>
      </c>
      <c r="Y32" s="5" t="s">
        <v>316</v>
      </c>
      <c r="Z32" s="5" t="s">
        <v>317</v>
      </c>
      <c r="AA32" s="6" t="s">
        <v>318</v>
      </c>
      <c r="AB32" s="5" t="s">
        <v>319</v>
      </c>
      <c r="AC32" s="5" t="s">
        <v>320</v>
      </c>
      <c r="AD32" s="5"/>
      <c r="AE32" s="5"/>
      <c r="AF32" s="5"/>
      <c r="AG32" s="7"/>
    </row>
    <row r="33" spans="1:33" x14ac:dyDescent="0.4">
      <c r="A33" s="4">
        <v>113</v>
      </c>
      <c r="B33" s="5" t="s">
        <v>28</v>
      </c>
      <c r="C33" s="5" t="s">
        <v>321</v>
      </c>
      <c r="D33" s="5" t="s">
        <v>322</v>
      </c>
      <c r="E33" s="5" t="s">
        <v>323</v>
      </c>
      <c r="F33" s="5" t="s">
        <v>324</v>
      </c>
      <c r="G33" s="5" t="s">
        <v>38</v>
      </c>
      <c r="H33" s="5" t="s">
        <v>325</v>
      </c>
      <c r="I33" s="5" t="s">
        <v>326</v>
      </c>
      <c r="J33" s="5" t="s">
        <v>90</v>
      </c>
      <c r="K33" s="5" t="s">
        <v>327</v>
      </c>
      <c r="L33" s="5" t="s">
        <v>38</v>
      </c>
      <c r="M33" s="5">
        <v>3</v>
      </c>
      <c r="N33" s="5">
        <v>164</v>
      </c>
      <c r="O33" s="5">
        <v>0</v>
      </c>
      <c r="P33" s="5" t="s">
        <v>1098</v>
      </c>
      <c r="Q33" s="5" t="s">
        <v>1098</v>
      </c>
      <c r="R33" s="5" t="s">
        <v>1098</v>
      </c>
      <c r="S33" s="5" t="s">
        <v>1098</v>
      </c>
      <c r="T33" s="5" t="s">
        <v>78</v>
      </c>
      <c r="U33" s="5" t="s">
        <v>79</v>
      </c>
      <c r="V33" s="5" t="s">
        <v>80</v>
      </c>
      <c r="W33" s="5" t="s">
        <v>79</v>
      </c>
      <c r="X33" s="5" t="s">
        <v>80</v>
      </c>
      <c r="Y33" s="5">
        <v>0</v>
      </c>
      <c r="Z33" s="5" t="s">
        <v>257</v>
      </c>
      <c r="AA33" s="6" t="s">
        <v>82</v>
      </c>
      <c r="AB33" s="5"/>
      <c r="AC33" s="5"/>
      <c r="AD33" s="5"/>
      <c r="AE33" s="5"/>
      <c r="AF33" s="5"/>
      <c r="AG33" s="7"/>
    </row>
    <row r="34" spans="1:33" x14ac:dyDescent="0.4">
      <c r="A34" s="4">
        <v>114</v>
      </c>
      <c r="B34" s="5" t="s">
        <v>275</v>
      </c>
      <c r="C34" s="5" t="s">
        <v>328</v>
      </c>
      <c r="D34" s="5" t="s">
        <v>329</v>
      </c>
      <c r="E34" s="5" t="s">
        <v>330</v>
      </c>
      <c r="F34" s="5" t="s">
        <v>279</v>
      </c>
      <c r="G34" s="5" t="s">
        <v>38</v>
      </c>
      <c r="H34" s="5" t="s">
        <v>331</v>
      </c>
      <c r="I34" s="5" t="s">
        <v>332</v>
      </c>
      <c r="J34" s="5" t="s">
        <v>90</v>
      </c>
      <c r="K34" s="5" t="s">
        <v>151</v>
      </c>
      <c r="L34" s="5" t="s">
        <v>33</v>
      </c>
      <c r="M34" s="5">
        <v>1.5</v>
      </c>
      <c r="N34" s="5">
        <v>21</v>
      </c>
      <c r="O34" s="5">
        <v>9</v>
      </c>
      <c r="P34" s="5" t="s">
        <v>39</v>
      </c>
      <c r="Q34" s="5" t="s">
        <v>40</v>
      </c>
      <c r="R34" s="5" t="s">
        <v>41</v>
      </c>
      <c r="S34" s="5" t="s">
        <v>115</v>
      </c>
      <c r="T34" s="5" t="s">
        <v>43</v>
      </c>
      <c r="U34" s="5" t="s">
        <v>44</v>
      </c>
      <c r="V34" s="5" t="s">
        <v>282</v>
      </c>
      <c r="W34" s="5" t="s">
        <v>44</v>
      </c>
      <c r="X34" s="5" t="s">
        <v>283</v>
      </c>
      <c r="Y34" s="5" t="s">
        <v>119</v>
      </c>
      <c r="Z34" s="5" t="s">
        <v>153</v>
      </c>
      <c r="AA34" s="6" t="s">
        <v>284</v>
      </c>
      <c r="AB34" s="5" t="s">
        <v>333</v>
      </c>
      <c r="AC34" s="5" t="s">
        <v>334</v>
      </c>
      <c r="AD34" s="5"/>
      <c r="AE34" s="5"/>
      <c r="AF34" s="5"/>
      <c r="AG34" s="7"/>
    </row>
    <row r="35" spans="1:33" x14ac:dyDescent="0.4">
      <c r="A35" s="4">
        <v>115</v>
      </c>
      <c r="B35" s="5" t="s">
        <v>335</v>
      </c>
      <c r="C35" s="5" t="s">
        <v>336</v>
      </c>
      <c r="D35" s="5" t="s">
        <v>337</v>
      </c>
      <c r="E35" s="5" t="s">
        <v>338</v>
      </c>
      <c r="F35" s="5" t="s">
        <v>339</v>
      </c>
      <c r="G35" s="5" t="s">
        <v>38</v>
      </c>
      <c r="H35" s="5" t="s">
        <v>340</v>
      </c>
      <c r="I35" s="5" t="s">
        <v>341</v>
      </c>
      <c r="J35" s="5" t="s">
        <v>36</v>
      </c>
      <c r="K35" s="5" t="s">
        <v>342</v>
      </c>
      <c r="L35" s="5" t="s">
        <v>33</v>
      </c>
      <c r="M35" s="5">
        <v>2</v>
      </c>
      <c r="N35" s="5">
        <v>87</v>
      </c>
      <c r="O35" s="5">
        <v>26</v>
      </c>
      <c r="P35" s="5" t="s">
        <v>39</v>
      </c>
      <c r="Q35" s="5" t="s">
        <v>249</v>
      </c>
      <c r="R35" s="5" t="s">
        <v>250</v>
      </c>
      <c r="S35" s="5" t="s">
        <v>175</v>
      </c>
      <c r="T35" s="5" t="s">
        <v>251</v>
      </c>
      <c r="U35" s="5" t="s">
        <v>343</v>
      </c>
      <c r="V35" s="5" t="s">
        <v>344</v>
      </c>
      <c r="W35" s="5" t="s">
        <v>345</v>
      </c>
      <c r="X35" s="5" t="s">
        <v>346</v>
      </c>
      <c r="Y35" s="5" t="s">
        <v>256</v>
      </c>
      <c r="Z35" s="5" t="s">
        <v>99</v>
      </c>
      <c r="AA35" s="6" t="s">
        <v>258</v>
      </c>
      <c r="AB35" s="5" t="s">
        <v>347</v>
      </c>
      <c r="AC35" s="5" t="s">
        <v>348</v>
      </c>
      <c r="AD35" s="5" t="s">
        <v>1104</v>
      </c>
      <c r="AE35" s="5" t="s">
        <v>1105</v>
      </c>
      <c r="AF35" s="5"/>
      <c r="AG35" s="8" t="s">
        <v>1106</v>
      </c>
    </row>
    <row r="36" spans="1:33" x14ac:dyDescent="0.4">
      <c r="A36" s="4">
        <v>116</v>
      </c>
      <c r="B36" s="5" t="s">
        <v>107</v>
      </c>
      <c r="C36" s="5" t="s">
        <v>349</v>
      </c>
      <c r="D36" s="5" t="s">
        <v>350</v>
      </c>
      <c r="E36" s="5" t="s">
        <v>351</v>
      </c>
      <c r="F36" s="5" t="s">
        <v>352</v>
      </c>
      <c r="G36" s="5" t="s">
        <v>38</v>
      </c>
      <c r="H36" s="5" t="s">
        <v>112</v>
      </c>
      <c r="I36" s="5" t="s">
        <v>353</v>
      </c>
      <c r="J36" s="5" t="s">
        <v>90</v>
      </c>
      <c r="K36" s="5" t="s">
        <v>114</v>
      </c>
      <c r="L36" s="5" t="s">
        <v>77</v>
      </c>
      <c r="M36" s="5">
        <v>0.75</v>
      </c>
      <c r="N36" s="5">
        <v>165</v>
      </c>
      <c r="O36" s="5">
        <v>0</v>
      </c>
      <c r="P36" s="5" t="s">
        <v>1098</v>
      </c>
      <c r="Q36" s="5" t="s">
        <v>1098</v>
      </c>
      <c r="R36" s="5" t="s">
        <v>1098</v>
      </c>
      <c r="S36" s="5" t="s">
        <v>1098</v>
      </c>
      <c r="T36" s="5" t="s">
        <v>78</v>
      </c>
      <c r="U36" s="5" t="s">
        <v>79</v>
      </c>
      <c r="V36" s="5" t="s">
        <v>80</v>
      </c>
      <c r="W36" s="5" t="s">
        <v>79</v>
      </c>
      <c r="X36" s="5" t="s">
        <v>80</v>
      </c>
      <c r="Y36" s="5">
        <v>0</v>
      </c>
      <c r="Z36" s="5" t="s">
        <v>48</v>
      </c>
      <c r="AA36" s="6" t="s">
        <v>82</v>
      </c>
      <c r="AB36" s="5"/>
      <c r="AC36" s="5"/>
      <c r="AD36" s="5"/>
      <c r="AE36" s="5"/>
      <c r="AF36" s="5"/>
      <c r="AG36" s="7"/>
    </row>
    <row r="37" spans="1:33" x14ac:dyDescent="0.4">
      <c r="A37" s="4">
        <v>117</v>
      </c>
      <c r="B37" s="5" t="s">
        <v>107</v>
      </c>
      <c r="C37" s="5" t="s">
        <v>354</v>
      </c>
      <c r="D37" s="5" t="s">
        <v>355</v>
      </c>
      <c r="E37" s="5" t="s">
        <v>356</v>
      </c>
      <c r="F37" s="5" t="s">
        <v>357</v>
      </c>
      <c r="G37" s="5" t="s">
        <v>38</v>
      </c>
      <c r="H37" s="5" t="s">
        <v>112</v>
      </c>
      <c r="I37" s="5" t="s">
        <v>358</v>
      </c>
      <c r="J37" s="5" t="s">
        <v>90</v>
      </c>
      <c r="K37" s="5" t="s">
        <v>114</v>
      </c>
      <c r="L37" s="5" t="s">
        <v>33</v>
      </c>
      <c r="M37" s="5">
        <v>1.5</v>
      </c>
      <c r="N37" s="5">
        <v>166</v>
      </c>
      <c r="O37" s="5">
        <v>0</v>
      </c>
      <c r="P37" s="5" t="s">
        <v>1098</v>
      </c>
      <c r="Q37" s="5" t="s">
        <v>1098</v>
      </c>
      <c r="R37" s="5" t="s">
        <v>1098</v>
      </c>
      <c r="S37" s="5" t="s">
        <v>1098</v>
      </c>
      <c r="T37" s="5" t="s">
        <v>359</v>
      </c>
      <c r="U37" s="5" t="s">
        <v>360</v>
      </c>
      <c r="V37" s="5" t="s">
        <v>361</v>
      </c>
      <c r="W37" s="5" t="s">
        <v>44</v>
      </c>
      <c r="X37" s="5" t="s">
        <v>361</v>
      </c>
      <c r="Y37" s="5">
        <v>0</v>
      </c>
      <c r="Z37" s="5" t="s">
        <v>48</v>
      </c>
      <c r="AA37" s="6" t="s">
        <v>136</v>
      </c>
      <c r="AB37" s="5"/>
      <c r="AC37" s="5"/>
      <c r="AD37" s="5"/>
      <c r="AE37" s="5"/>
      <c r="AF37" s="5"/>
      <c r="AG37" s="7"/>
    </row>
    <row r="38" spans="1:33" x14ac:dyDescent="0.4">
      <c r="A38" s="4">
        <v>120</v>
      </c>
      <c r="B38" s="5" t="s">
        <v>28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38</v>
      </c>
      <c r="H38" s="5" t="s">
        <v>34</v>
      </c>
      <c r="I38" s="5" t="s">
        <v>366</v>
      </c>
      <c r="J38" s="5" t="s">
        <v>367</v>
      </c>
      <c r="K38" s="5" t="s">
        <v>368</v>
      </c>
      <c r="L38" s="5" t="s">
        <v>33</v>
      </c>
      <c r="M38" s="5">
        <v>0.5</v>
      </c>
      <c r="N38" s="5">
        <v>24</v>
      </c>
      <c r="O38" s="5">
        <v>179</v>
      </c>
      <c r="P38" s="5" t="s">
        <v>39</v>
      </c>
      <c r="Q38" s="5" t="s">
        <v>40</v>
      </c>
      <c r="R38" s="5" t="s">
        <v>41</v>
      </c>
      <c r="S38" s="5" t="s">
        <v>369</v>
      </c>
      <c r="T38" s="5" t="s">
        <v>43</v>
      </c>
      <c r="U38" s="5" t="s">
        <v>370</v>
      </c>
      <c r="V38" s="5" t="s">
        <v>371</v>
      </c>
      <c r="W38" s="5" t="s">
        <v>60</v>
      </c>
      <c r="X38" s="5" t="s">
        <v>372</v>
      </c>
      <c r="Y38" s="5" t="s">
        <v>62</v>
      </c>
      <c r="Z38" s="5" t="s">
        <v>373</v>
      </c>
      <c r="AA38" s="6" t="s">
        <v>374</v>
      </c>
      <c r="AB38" s="5" t="s">
        <v>375</v>
      </c>
      <c r="AC38" s="5" t="s">
        <v>376</v>
      </c>
      <c r="AD38" s="5"/>
      <c r="AE38" s="5"/>
      <c r="AF38" s="5"/>
      <c r="AG38" s="7"/>
    </row>
    <row r="39" spans="1:33" x14ac:dyDescent="0.4">
      <c r="A39" s="4">
        <v>121</v>
      </c>
      <c r="B39" s="5" t="s">
        <v>28</v>
      </c>
      <c r="C39" s="5" t="s">
        <v>362</v>
      </c>
      <c r="D39" s="5" t="s">
        <v>377</v>
      </c>
      <c r="E39" s="5" t="s">
        <v>378</v>
      </c>
      <c r="F39" s="5" t="s">
        <v>379</v>
      </c>
      <c r="G39" s="5" t="s">
        <v>38</v>
      </c>
      <c r="H39" s="5" t="s">
        <v>34</v>
      </c>
      <c r="I39" s="5" t="s">
        <v>380</v>
      </c>
      <c r="J39" s="5" t="s">
        <v>367</v>
      </c>
      <c r="K39" s="5" t="s">
        <v>381</v>
      </c>
      <c r="L39" s="5" t="s">
        <v>38</v>
      </c>
      <c r="M39" s="5">
        <v>3</v>
      </c>
      <c r="N39" s="5">
        <v>167</v>
      </c>
      <c r="O39" s="5">
        <v>0</v>
      </c>
      <c r="P39" s="5" t="s">
        <v>1098</v>
      </c>
      <c r="Q39" s="5" t="s">
        <v>1098</v>
      </c>
      <c r="R39" s="5" t="s">
        <v>1098</v>
      </c>
      <c r="S39" s="5" t="s">
        <v>1098</v>
      </c>
      <c r="T39" s="5" t="s">
        <v>78</v>
      </c>
      <c r="U39" s="5" t="s">
        <v>79</v>
      </c>
      <c r="V39" s="5" t="s">
        <v>80</v>
      </c>
      <c r="W39" s="5" t="s">
        <v>79</v>
      </c>
      <c r="X39" s="5" t="s">
        <v>80</v>
      </c>
      <c r="Y39" s="5">
        <v>0</v>
      </c>
      <c r="Z39" s="5" t="s">
        <v>373</v>
      </c>
      <c r="AA39" s="6" t="s">
        <v>82</v>
      </c>
      <c r="AB39" s="5"/>
      <c r="AC39" s="5"/>
      <c r="AD39" s="5"/>
      <c r="AE39" s="5"/>
      <c r="AF39" s="5"/>
      <c r="AG39" s="7"/>
    </row>
    <row r="40" spans="1:33" x14ac:dyDescent="0.4">
      <c r="A40" s="4">
        <v>130</v>
      </c>
      <c r="B40" s="5" t="s">
        <v>67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</v>
      </c>
      <c r="H40" s="5" t="s">
        <v>73</v>
      </c>
      <c r="I40" s="5" t="s">
        <v>386</v>
      </c>
      <c r="J40" s="5" t="s">
        <v>75</v>
      </c>
      <c r="K40" s="5" t="s">
        <v>387</v>
      </c>
      <c r="L40" s="5" t="s">
        <v>77</v>
      </c>
      <c r="M40" s="5">
        <v>0.25</v>
      </c>
      <c r="N40" s="5">
        <v>168</v>
      </c>
      <c r="O40" s="5">
        <v>0</v>
      </c>
      <c r="P40" s="5" t="s">
        <v>1098</v>
      </c>
      <c r="Q40" s="5" t="s">
        <v>1098</v>
      </c>
      <c r="R40" s="5" t="s">
        <v>1098</v>
      </c>
      <c r="S40" s="5" t="s">
        <v>1098</v>
      </c>
      <c r="T40" s="5" t="s">
        <v>78</v>
      </c>
      <c r="U40" s="5" t="s">
        <v>79</v>
      </c>
      <c r="V40" s="5" t="s">
        <v>80</v>
      </c>
      <c r="W40" s="5" t="s">
        <v>79</v>
      </c>
      <c r="X40" s="5" t="s">
        <v>80</v>
      </c>
      <c r="Y40" s="5">
        <v>0</v>
      </c>
      <c r="Z40" s="5" t="s">
        <v>317</v>
      </c>
      <c r="AA40" s="6" t="s">
        <v>82</v>
      </c>
      <c r="AB40" s="5"/>
      <c r="AC40" s="5"/>
      <c r="AD40" s="5"/>
      <c r="AE40" s="5"/>
      <c r="AF40" s="5"/>
      <c r="AG40" s="7"/>
    </row>
    <row r="41" spans="1:33" x14ac:dyDescent="0.4">
      <c r="A41" s="4">
        <v>131</v>
      </c>
      <c r="B41" s="5" t="s">
        <v>28</v>
      </c>
      <c r="C41" s="5" t="s">
        <v>321</v>
      </c>
      <c r="D41" s="5" t="s">
        <v>388</v>
      </c>
      <c r="E41" s="5" t="s">
        <v>389</v>
      </c>
      <c r="F41" s="5" t="s">
        <v>390</v>
      </c>
      <c r="G41" s="5" t="s">
        <v>33</v>
      </c>
      <c r="H41" s="5" t="s">
        <v>34</v>
      </c>
      <c r="I41" s="5" t="s">
        <v>391</v>
      </c>
      <c r="J41" s="5" t="s">
        <v>36</v>
      </c>
      <c r="K41" s="5" t="s">
        <v>37</v>
      </c>
      <c r="L41" s="5" t="s">
        <v>38</v>
      </c>
      <c r="M41" s="5">
        <v>4</v>
      </c>
      <c r="N41" s="5">
        <v>9</v>
      </c>
      <c r="O41" s="5">
        <v>1</v>
      </c>
      <c r="P41" s="5" t="s">
        <v>39</v>
      </c>
      <c r="Q41" s="5" t="s">
        <v>40</v>
      </c>
      <c r="R41" s="5" t="s">
        <v>41</v>
      </c>
      <c r="S41" s="5" t="s">
        <v>42</v>
      </c>
      <c r="T41" s="5" t="s">
        <v>43</v>
      </c>
      <c r="U41" s="5" t="s">
        <v>44</v>
      </c>
      <c r="V41" s="5" t="s">
        <v>45</v>
      </c>
      <c r="W41" s="5" t="s">
        <v>44</v>
      </c>
      <c r="X41" s="5" t="s">
        <v>46</v>
      </c>
      <c r="Y41" s="5" t="s">
        <v>47</v>
      </c>
      <c r="Z41" s="5" t="s">
        <v>48</v>
      </c>
      <c r="AA41" s="6" t="s">
        <v>49</v>
      </c>
      <c r="AB41" s="5" t="s">
        <v>392</v>
      </c>
      <c r="AC41" s="5" t="s">
        <v>393</v>
      </c>
      <c r="AD41" s="5"/>
      <c r="AE41" s="5"/>
      <c r="AF41" s="5"/>
      <c r="AG41" s="7"/>
    </row>
    <row r="42" spans="1:33" x14ac:dyDescent="0.4">
      <c r="A42" s="4">
        <v>134</v>
      </c>
      <c r="B42" s="5" t="s">
        <v>28</v>
      </c>
      <c r="C42" s="5" t="s">
        <v>362</v>
      </c>
      <c r="D42" s="5" t="s">
        <v>394</v>
      </c>
      <c r="E42" s="5" t="s">
        <v>395</v>
      </c>
      <c r="F42" s="5" t="s">
        <v>396</v>
      </c>
      <c r="G42" s="5" t="s">
        <v>38</v>
      </c>
      <c r="H42" s="5" t="s">
        <v>34</v>
      </c>
      <c r="I42" s="5" t="s">
        <v>366</v>
      </c>
      <c r="J42" s="5" t="s">
        <v>367</v>
      </c>
      <c r="K42" s="5" t="s">
        <v>368</v>
      </c>
      <c r="L42" s="5" t="s">
        <v>33</v>
      </c>
      <c r="M42" s="5">
        <v>0.5</v>
      </c>
      <c r="N42" s="5">
        <v>23</v>
      </c>
      <c r="O42" s="5">
        <v>160</v>
      </c>
      <c r="P42" s="5" t="s">
        <v>39</v>
      </c>
      <c r="Q42" s="5" t="s">
        <v>40</v>
      </c>
      <c r="R42" s="5" t="s">
        <v>41</v>
      </c>
      <c r="S42" s="5" t="s">
        <v>369</v>
      </c>
      <c r="T42" s="5" t="s">
        <v>43</v>
      </c>
      <c r="U42" s="5" t="s">
        <v>370</v>
      </c>
      <c r="V42" s="5" t="s">
        <v>397</v>
      </c>
      <c r="W42" s="5" t="s">
        <v>60</v>
      </c>
      <c r="X42" s="5" t="s">
        <v>372</v>
      </c>
      <c r="Y42" s="5" t="s">
        <v>62</v>
      </c>
      <c r="Z42" s="5" t="s">
        <v>373</v>
      </c>
      <c r="AA42" s="6" t="s">
        <v>374</v>
      </c>
      <c r="AB42" s="5" t="s">
        <v>398</v>
      </c>
      <c r="AC42" s="5" t="s">
        <v>399</v>
      </c>
      <c r="AD42" s="5"/>
      <c r="AE42" s="5"/>
      <c r="AF42" s="5"/>
      <c r="AG42" s="7"/>
    </row>
    <row r="43" spans="1:33" x14ac:dyDescent="0.4">
      <c r="A43" s="4">
        <v>200</v>
      </c>
      <c r="B43" s="5" t="s">
        <v>400</v>
      </c>
      <c r="C43" s="5" t="s">
        <v>401</v>
      </c>
      <c r="D43" s="5" t="s">
        <v>402</v>
      </c>
      <c r="E43" s="5" t="s">
        <v>403</v>
      </c>
      <c r="F43" s="5" t="s">
        <v>404</v>
      </c>
      <c r="G43" s="5" t="s">
        <v>33</v>
      </c>
      <c r="H43" s="5" t="s">
        <v>405</v>
      </c>
      <c r="I43" s="5" t="s">
        <v>406</v>
      </c>
      <c r="J43" s="5" t="s">
        <v>407</v>
      </c>
      <c r="K43" s="5" t="s">
        <v>408</v>
      </c>
      <c r="L43" s="5" t="s">
        <v>33</v>
      </c>
      <c r="M43" s="5">
        <v>0.5</v>
      </c>
      <c r="N43" s="5">
        <v>96</v>
      </c>
      <c r="O43" s="5">
        <v>2513</v>
      </c>
      <c r="P43" s="5" t="s">
        <v>39</v>
      </c>
      <c r="Q43" s="5" t="s">
        <v>249</v>
      </c>
      <c r="R43" s="5" t="s">
        <v>250</v>
      </c>
      <c r="S43" s="5" t="s">
        <v>115</v>
      </c>
      <c r="T43" s="5" t="s">
        <v>409</v>
      </c>
      <c r="U43" s="5" t="s">
        <v>410</v>
      </c>
      <c r="V43" s="5" t="s">
        <v>411</v>
      </c>
      <c r="W43" s="5" t="s">
        <v>412</v>
      </c>
      <c r="X43" s="5" t="s">
        <v>413</v>
      </c>
      <c r="Y43" s="5" t="s">
        <v>414</v>
      </c>
      <c r="Z43" s="5" t="s">
        <v>415</v>
      </c>
      <c r="AA43" s="6" t="s">
        <v>416</v>
      </c>
      <c r="AB43" s="5" t="s">
        <v>417</v>
      </c>
      <c r="AC43" s="5" t="s">
        <v>418</v>
      </c>
      <c r="AD43" s="5"/>
      <c r="AE43" s="5"/>
      <c r="AF43" s="5"/>
      <c r="AG43" s="7"/>
    </row>
    <row r="44" spans="1:33" x14ac:dyDescent="0.4">
      <c r="A44" s="4">
        <v>201</v>
      </c>
      <c r="B44" s="5" t="s">
        <v>400</v>
      </c>
      <c r="C44" s="5" t="s">
        <v>419</v>
      </c>
      <c r="D44" s="5" t="s">
        <v>420</v>
      </c>
      <c r="E44" s="5" t="s">
        <v>403</v>
      </c>
      <c r="F44" s="5" t="s">
        <v>421</v>
      </c>
      <c r="G44" s="5" t="s">
        <v>33</v>
      </c>
      <c r="H44" s="5" t="s">
        <v>405</v>
      </c>
      <c r="I44" s="5" t="s">
        <v>406</v>
      </c>
      <c r="J44" s="5" t="s">
        <v>407</v>
      </c>
      <c r="K44" s="5" t="s">
        <v>408</v>
      </c>
      <c r="L44" s="5" t="s">
        <v>33</v>
      </c>
      <c r="M44" s="5">
        <v>0.5</v>
      </c>
      <c r="N44" s="5">
        <v>169</v>
      </c>
      <c r="O44" s="5">
        <v>0</v>
      </c>
      <c r="P44" s="5" t="s">
        <v>1098</v>
      </c>
      <c r="Q44" s="5" t="s">
        <v>1098</v>
      </c>
      <c r="R44" s="5" t="s">
        <v>1098</v>
      </c>
      <c r="S44" s="5" t="s">
        <v>1098</v>
      </c>
      <c r="T44" s="5" t="s">
        <v>422</v>
      </c>
      <c r="U44" s="5" t="s">
        <v>423</v>
      </c>
      <c r="V44" s="5" t="s">
        <v>424</v>
      </c>
      <c r="W44" s="5" t="s">
        <v>44</v>
      </c>
      <c r="X44" s="5" t="s">
        <v>425</v>
      </c>
      <c r="Y44" s="5">
        <v>0</v>
      </c>
      <c r="Z44" s="5" t="s">
        <v>415</v>
      </c>
      <c r="AA44" s="6" t="s">
        <v>426</v>
      </c>
      <c r="AB44" s="5"/>
      <c r="AC44" s="5"/>
      <c r="AD44" s="5"/>
      <c r="AE44" s="5"/>
      <c r="AF44" s="5"/>
      <c r="AG44" s="7"/>
    </row>
    <row r="45" spans="1:33" x14ac:dyDescent="0.4">
      <c r="A45" s="4">
        <v>202</v>
      </c>
      <c r="B45" s="5" t="s">
        <v>400</v>
      </c>
      <c r="C45" s="5" t="s">
        <v>427</v>
      </c>
      <c r="D45" s="5" t="s">
        <v>428</v>
      </c>
      <c r="E45" s="5" t="s">
        <v>403</v>
      </c>
      <c r="F45" s="5" t="s">
        <v>429</v>
      </c>
      <c r="G45" s="5" t="s">
        <v>33</v>
      </c>
      <c r="H45" s="5" t="s">
        <v>405</v>
      </c>
      <c r="I45" s="5" t="s">
        <v>406</v>
      </c>
      <c r="J45" s="5" t="s">
        <v>407</v>
      </c>
      <c r="K45" s="5" t="s">
        <v>408</v>
      </c>
      <c r="L45" s="5" t="s">
        <v>33</v>
      </c>
      <c r="M45" s="5">
        <v>0.5</v>
      </c>
      <c r="N45" s="5">
        <v>81</v>
      </c>
      <c r="O45" s="5">
        <v>2</v>
      </c>
      <c r="P45" s="5" t="s">
        <v>39</v>
      </c>
      <c r="Q45" s="5" t="s">
        <v>40</v>
      </c>
      <c r="R45" s="5" t="s">
        <v>41</v>
      </c>
      <c r="S45" s="5" t="s">
        <v>430</v>
      </c>
      <c r="T45" s="5" t="s">
        <v>43</v>
      </c>
      <c r="U45" s="5" t="s">
        <v>431</v>
      </c>
      <c r="V45" s="5" t="s">
        <v>432</v>
      </c>
      <c r="W45" s="5" t="s">
        <v>44</v>
      </c>
      <c r="X45" s="5" t="s">
        <v>433</v>
      </c>
      <c r="Y45" s="5" t="s">
        <v>47</v>
      </c>
      <c r="Z45" s="5" t="s">
        <v>415</v>
      </c>
      <c r="AA45" s="6" t="s">
        <v>434</v>
      </c>
      <c r="AB45" s="5" t="s">
        <v>435</v>
      </c>
      <c r="AC45" s="5" t="s">
        <v>436</v>
      </c>
      <c r="AD45" s="5"/>
      <c r="AE45" s="5"/>
      <c r="AF45" s="5"/>
      <c r="AG45" s="7"/>
    </row>
    <row r="46" spans="1:33" x14ac:dyDescent="0.4">
      <c r="A46" s="4">
        <v>203</v>
      </c>
      <c r="B46" s="5" t="s">
        <v>400</v>
      </c>
      <c r="C46" s="5" t="s">
        <v>437</v>
      </c>
      <c r="D46" s="5" t="s">
        <v>438</v>
      </c>
      <c r="E46" s="5" t="s">
        <v>403</v>
      </c>
      <c r="F46" s="5" t="s">
        <v>439</v>
      </c>
      <c r="G46" s="5" t="s">
        <v>33</v>
      </c>
      <c r="H46" s="5" t="s">
        <v>405</v>
      </c>
      <c r="I46" s="5" t="s">
        <v>406</v>
      </c>
      <c r="J46" s="5" t="s">
        <v>407</v>
      </c>
      <c r="K46" s="5" t="s">
        <v>408</v>
      </c>
      <c r="L46" s="5" t="s">
        <v>33</v>
      </c>
      <c r="M46" s="5">
        <v>0.5</v>
      </c>
      <c r="N46" s="5">
        <v>170</v>
      </c>
      <c r="O46" s="5">
        <v>0</v>
      </c>
      <c r="P46" s="5" t="s">
        <v>1098</v>
      </c>
      <c r="Q46" s="5" t="s">
        <v>1098</v>
      </c>
      <c r="R46" s="5" t="s">
        <v>1098</v>
      </c>
      <c r="S46" s="5" t="s">
        <v>1098</v>
      </c>
      <c r="T46" s="5" t="s">
        <v>422</v>
      </c>
      <c r="U46" s="5" t="s">
        <v>423</v>
      </c>
      <c r="V46" s="5" t="s">
        <v>424</v>
      </c>
      <c r="W46" s="5" t="s">
        <v>44</v>
      </c>
      <c r="X46" s="5" t="s">
        <v>425</v>
      </c>
      <c r="Y46" s="5">
        <v>0</v>
      </c>
      <c r="Z46" s="5" t="s">
        <v>440</v>
      </c>
      <c r="AA46" s="6" t="s">
        <v>441</v>
      </c>
      <c r="AB46" s="5"/>
      <c r="AC46" s="5"/>
      <c r="AD46" s="5"/>
      <c r="AE46" s="5"/>
      <c r="AF46" s="5"/>
      <c r="AG46" s="7"/>
    </row>
    <row r="47" spans="1:33" x14ac:dyDescent="0.4">
      <c r="A47" s="4">
        <v>204</v>
      </c>
      <c r="B47" s="5" t="s">
        <v>400</v>
      </c>
      <c r="C47" s="5" t="s">
        <v>442</v>
      </c>
      <c r="D47" s="5" t="s">
        <v>443</v>
      </c>
      <c r="E47" s="5" t="s">
        <v>403</v>
      </c>
      <c r="F47" s="5" t="s">
        <v>444</v>
      </c>
      <c r="G47" s="5" t="s">
        <v>33</v>
      </c>
      <c r="H47" s="5" t="s">
        <v>445</v>
      </c>
      <c r="I47" s="5" t="s">
        <v>446</v>
      </c>
      <c r="J47" s="5" t="s">
        <v>447</v>
      </c>
      <c r="K47" s="5" t="s">
        <v>448</v>
      </c>
      <c r="L47" s="5" t="s">
        <v>33</v>
      </c>
      <c r="M47" s="5">
        <v>1</v>
      </c>
      <c r="N47" s="5">
        <v>42</v>
      </c>
      <c r="O47" s="5">
        <v>1</v>
      </c>
      <c r="P47" s="5" t="s">
        <v>39</v>
      </c>
      <c r="Q47" s="5" t="s">
        <v>40</v>
      </c>
      <c r="R47" s="5" t="s">
        <v>41</v>
      </c>
      <c r="S47" s="5" t="s">
        <v>430</v>
      </c>
      <c r="T47" s="5" t="s">
        <v>43</v>
      </c>
      <c r="U47" s="5" t="s">
        <v>423</v>
      </c>
      <c r="V47" s="5" t="s">
        <v>424</v>
      </c>
      <c r="W47" s="5" t="s">
        <v>44</v>
      </c>
      <c r="X47" s="5" t="s">
        <v>425</v>
      </c>
      <c r="Y47" s="5" t="s">
        <v>449</v>
      </c>
      <c r="Z47" s="5" t="s">
        <v>450</v>
      </c>
      <c r="AA47" s="6" t="s">
        <v>451</v>
      </c>
      <c r="AB47" s="5" t="s">
        <v>452</v>
      </c>
      <c r="AC47" s="5" t="s">
        <v>453</v>
      </c>
      <c r="AD47" s="5" t="s">
        <v>1104</v>
      </c>
      <c r="AE47" s="5"/>
      <c r="AF47" s="5"/>
      <c r="AG47" s="7" t="s">
        <v>1107</v>
      </c>
    </row>
    <row r="48" spans="1:33" x14ac:dyDescent="0.4">
      <c r="A48" s="4">
        <v>205</v>
      </c>
      <c r="B48" s="5" t="s">
        <v>400</v>
      </c>
      <c r="C48" s="5" t="s">
        <v>442</v>
      </c>
      <c r="D48" s="5" t="s">
        <v>454</v>
      </c>
      <c r="E48" s="5" t="s">
        <v>403</v>
      </c>
      <c r="F48" s="5" t="s">
        <v>455</v>
      </c>
      <c r="G48" s="5" t="s">
        <v>33</v>
      </c>
      <c r="H48" s="5" t="s">
        <v>445</v>
      </c>
      <c r="I48" s="5" t="s">
        <v>446</v>
      </c>
      <c r="J48" s="5" t="s">
        <v>447</v>
      </c>
      <c r="K48" s="5" t="s">
        <v>448</v>
      </c>
      <c r="L48" s="5" t="s">
        <v>33</v>
      </c>
      <c r="M48" s="5">
        <v>1</v>
      </c>
      <c r="N48" s="5">
        <v>43</v>
      </c>
      <c r="O48" s="5">
        <v>1</v>
      </c>
      <c r="P48" s="5" t="s">
        <v>39</v>
      </c>
      <c r="Q48" s="5" t="s">
        <v>40</v>
      </c>
      <c r="R48" s="5" t="s">
        <v>41</v>
      </c>
      <c r="S48" s="5" t="s">
        <v>430</v>
      </c>
      <c r="T48" s="5" t="s">
        <v>43</v>
      </c>
      <c r="U48" s="5" t="s">
        <v>423</v>
      </c>
      <c r="V48" s="5" t="s">
        <v>424</v>
      </c>
      <c r="W48" s="5" t="s">
        <v>44</v>
      </c>
      <c r="X48" s="5" t="s">
        <v>425</v>
      </c>
      <c r="Y48" s="5" t="s">
        <v>449</v>
      </c>
      <c r="Z48" s="5" t="s">
        <v>450</v>
      </c>
      <c r="AA48" s="6" t="s">
        <v>456</v>
      </c>
      <c r="AB48" s="5" t="s">
        <v>457</v>
      </c>
      <c r="AC48" s="5" t="s">
        <v>458</v>
      </c>
      <c r="AD48" s="5" t="s">
        <v>1104</v>
      </c>
      <c r="AE48" s="5"/>
      <c r="AF48" s="5"/>
      <c r="AG48" s="7" t="s">
        <v>1107</v>
      </c>
    </row>
    <row r="49" spans="1:33" x14ac:dyDescent="0.4">
      <c r="A49" s="4">
        <v>206</v>
      </c>
      <c r="B49" s="5" t="s">
        <v>400</v>
      </c>
      <c r="C49" s="5" t="s">
        <v>459</v>
      </c>
      <c r="D49" s="5" t="s">
        <v>460</v>
      </c>
      <c r="E49" s="5" t="s">
        <v>403</v>
      </c>
      <c r="F49" s="5" t="s">
        <v>461</v>
      </c>
      <c r="G49" s="5" t="s">
        <v>33</v>
      </c>
      <c r="H49" s="5" t="s">
        <v>405</v>
      </c>
      <c r="I49" s="5" t="s">
        <v>406</v>
      </c>
      <c r="J49" s="5" t="s">
        <v>407</v>
      </c>
      <c r="K49" s="5" t="s">
        <v>408</v>
      </c>
      <c r="L49" s="5" t="s">
        <v>33</v>
      </c>
      <c r="M49" s="5">
        <v>0.5</v>
      </c>
      <c r="N49" s="5">
        <v>171</v>
      </c>
      <c r="O49" s="5">
        <v>0</v>
      </c>
      <c r="P49" s="5" t="s">
        <v>1098</v>
      </c>
      <c r="Q49" s="5" t="s">
        <v>1098</v>
      </c>
      <c r="R49" s="5" t="s">
        <v>1098</v>
      </c>
      <c r="S49" s="5" t="s">
        <v>1098</v>
      </c>
      <c r="T49" s="5" t="s">
        <v>422</v>
      </c>
      <c r="U49" s="5" t="s">
        <v>423</v>
      </c>
      <c r="V49" s="5" t="s">
        <v>424</v>
      </c>
      <c r="W49" s="5" t="s">
        <v>44</v>
      </c>
      <c r="X49" s="5" t="s">
        <v>425</v>
      </c>
      <c r="Y49" s="5">
        <v>0</v>
      </c>
      <c r="Z49" s="5" t="s">
        <v>415</v>
      </c>
      <c r="AA49" s="6" t="s">
        <v>462</v>
      </c>
      <c r="AB49" s="5"/>
      <c r="AC49" s="5"/>
      <c r="AD49" s="5"/>
      <c r="AE49" s="5"/>
      <c r="AF49" s="5"/>
      <c r="AG49" s="7"/>
    </row>
    <row r="50" spans="1:33" x14ac:dyDescent="0.4">
      <c r="A50" s="4">
        <v>207</v>
      </c>
      <c r="B50" s="5" t="s">
        <v>400</v>
      </c>
      <c r="C50" s="5" t="s">
        <v>463</v>
      </c>
      <c r="D50" s="5" t="s">
        <v>464</v>
      </c>
      <c r="E50" s="5" t="s">
        <v>403</v>
      </c>
      <c r="F50" s="5" t="s">
        <v>465</v>
      </c>
      <c r="G50" s="5" t="s">
        <v>33</v>
      </c>
      <c r="H50" s="5" t="s">
        <v>405</v>
      </c>
      <c r="I50" s="5" t="s">
        <v>406</v>
      </c>
      <c r="J50" s="5" t="s">
        <v>407</v>
      </c>
      <c r="K50" s="5" t="s">
        <v>408</v>
      </c>
      <c r="L50" s="5" t="s">
        <v>33</v>
      </c>
      <c r="M50" s="5">
        <v>0.5</v>
      </c>
      <c r="N50" s="5">
        <v>113</v>
      </c>
      <c r="O50" s="5">
        <v>5</v>
      </c>
      <c r="P50" s="5" t="s">
        <v>39</v>
      </c>
      <c r="Q50" s="5" t="s">
        <v>249</v>
      </c>
      <c r="R50" s="5" t="s">
        <v>250</v>
      </c>
      <c r="S50" s="5" t="s">
        <v>115</v>
      </c>
      <c r="T50" s="5" t="s">
        <v>466</v>
      </c>
      <c r="U50" s="5" t="s">
        <v>467</v>
      </c>
      <c r="V50" s="5" t="s">
        <v>468</v>
      </c>
      <c r="W50" s="5" t="s">
        <v>469</v>
      </c>
      <c r="X50" s="5" t="s">
        <v>470</v>
      </c>
      <c r="Y50" s="5" t="s">
        <v>471</v>
      </c>
      <c r="Z50" s="5" t="s">
        <v>415</v>
      </c>
      <c r="AA50" s="6" t="s">
        <v>472</v>
      </c>
      <c r="AB50" s="5" t="s">
        <v>473</v>
      </c>
      <c r="AC50" s="5" t="s">
        <v>474</v>
      </c>
      <c r="AD50" s="5"/>
      <c r="AE50" s="5"/>
      <c r="AF50" s="5"/>
      <c r="AG50" s="7"/>
    </row>
    <row r="51" spans="1:33" x14ac:dyDescent="0.4">
      <c r="A51" s="4">
        <v>208</v>
      </c>
      <c r="B51" s="5" t="s">
        <v>400</v>
      </c>
      <c r="C51" s="5" t="s">
        <v>475</v>
      </c>
      <c r="D51" s="5" t="s">
        <v>476</v>
      </c>
      <c r="E51" s="5" t="s">
        <v>403</v>
      </c>
      <c r="F51" s="5" t="s">
        <v>477</v>
      </c>
      <c r="G51" s="5" t="s">
        <v>33</v>
      </c>
      <c r="H51" s="5" t="s">
        <v>405</v>
      </c>
      <c r="I51" s="5" t="s">
        <v>406</v>
      </c>
      <c r="J51" s="5" t="s">
        <v>407</v>
      </c>
      <c r="K51" s="5" t="s">
        <v>408</v>
      </c>
      <c r="L51" s="5" t="s">
        <v>33</v>
      </c>
      <c r="M51" s="5">
        <v>0.5</v>
      </c>
      <c r="N51" s="5">
        <v>74</v>
      </c>
      <c r="O51" s="5">
        <v>7</v>
      </c>
      <c r="P51" s="5" t="s">
        <v>39</v>
      </c>
      <c r="Q51" s="5" t="s">
        <v>40</v>
      </c>
      <c r="R51" s="5" t="s">
        <v>41</v>
      </c>
      <c r="S51" s="5" t="s">
        <v>430</v>
      </c>
      <c r="T51" s="5" t="s">
        <v>43</v>
      </c>
      <c r="U51" s="5" t="s">
        <v>423</v>
      </c>
      <c r="V51" s="5" t="s">
        <v>424</v>
      </c>
      <c r="W51" s="5" t="s">
        <v>44</v>
      </c>
      <c r="X51" s="5" t="s">
        <v>425</v>
      </c>
      <c r="Y51" s="5" t="s">
        <v>449</v>
      </c>
      <c r="Z51" s="5" t="s">
        <v>415</v>
      </c>
      <c r="AA51" s="6" t="s">
        <v>478</v>
      </c>
      <c r="AB51" s="5" t="s">
        <v>479</v>
      </c>
      <c r="AC51" s="5" t="s">
        <v>480</v>
      </c>
      <c r="AD51" s="5"/>
      <c r="AE51" s="5"/>
      <c r="AF51" s="5"/>
      <c r="AG51" s="7"/>
    </row>
    <row r="52" spans="1:33" x14ac:dyDescent="0.4">
      <c r="A52" s="4">
        <v>209</v>
      </c>
      <c r="B52" s="5" t="s">
        <v>400</v>
      </c>
      <c r="C52" s="5" t="s">
        <v>481</v>
      </c>
      <c r="D52" s="5" t="s">
        <v>482</v>
      </c>
      <c r="E52" s="5" t="s">
        <v>403</v>
      </c>
      <c r="F52" s="5" t="s">
        <v>483</v>
      </c>
      <c r="G52" s="5" t="s">
        <v>38</v>
      </c>
      <c r="H52" s="5" t="s">
        <v>484</v>
      </c>
      <c r="I52" s="5" t="s">
        <v>485</v>
      </c>
      <c r="J52" s="5" t="s">
        <v>447</v>
      </c>
      <c r="K52" s="5" t="s">
        <v>486</v>
      </c>
      <c r="L52" s="5" t="s">
        <v>33</v>
      </c>
      <c r="M52" s="5">
        <v>1</v>
      </c>
      <c r="N52" s="5">
        <v>48</v>
      </c>
      <c r="O52" s="5">
        <v>33</v>
      </c>
      <c r="P52" s="5" t="s">
        <v>39</v>
      </c>
      <c r="Q52" s="5" t="s">
        <v>40</v>
      </c>
      <c r="R52" s="5" t="s">
        <v>41</v>
      </c>
      <c r="S52" s="5" t="s">
        <v>430</v>
      </c>
      <c r="T52" s="5" t="s">
        <v>43</v>
      </c>
      <c r="U52" s="5" t="s">
        <v>487</v>
      </c>
      <c r="V52" s="5" t="s">
        <v>488</v>
      </c>
      <c r="W52" s="5" t="s">
        <v>44</v>
      </c>
      <c r="X52" s="5" t="s">
        <v>489</v>
      </c>
      <c r="Y52" s="5" t="s">
        <v>47</v>
      </c>
      <c r="Z52" s="5" t="s">
        <v>490</v>
      </c>
      <c r="AA52" s="6" t="s">
        <v>491</v>
      </c>
      <c r="AB52" s="5" t="s">
        <v>492</v>
      </c>
      <c r="AC52" s="5" t="s">
        <v>493</v>
      </c>
      <c r="AD52" s="5" t="s">
        <v>1108</v>
      </c>
      <c r="AE52" s="9" t="s">
        <v>1109</v>
      </c>
      <c r="AF52" s="5" t="s">
        <v>1110</v>
      </c>
      <c r="AG52" s="8" t="s">
        <v>1106</v>
      </c>
    </row>
    <row r="53" spans="1:33" x14ac:dyDescent="0.4">
      <c r="A53" s="4">
        <v>210</v>
      </c>
      <c r="B53" s="5" t="s">
        <v>400</v>
      </c>
      <c r="C53" s="5" t="s">
        <v>494</v>
      </c>
      <c r="D53" s="5" t="s">
        <v>495</v>
      </c>
      <c r="E53" s="5" t="s">
        <v>403</v>
      </c>
      <c r="F53" s="5" t="s">
        <v>496</v>
      </c>
      <c r="G53" s="5" t="s">
        <v>33</v>
      </c>
      <c r="H53" s="5" t="s">
        <v>405</v>
      </c>
      <c r="I53" s="5" t="s">
        <v>406</v>
      </c>
      <c r="J53" s="5" t="s">
        <v>407</v>
      </c>
      <c r="K53" s="5" t="s">
        <v>408</v>
      </c>
      <c r="L53" s="5" t="s">
        <v>33</v>
      </c>
      <c r="M53" s="5">
        <v>0.5</v>
      </c>
      <c r="N53" s="5">
        <v>76</v>
      </c>
      <c r="O53" s="5">
        <v>39</v>
      </c>
      <c r="P53" s="5" t="s">
        <v>39</v>
      </c>
      <c r="Q53" s="5" t="s">
        <v>40</v>
      </c>
      <c r="R53" s="5" t="s">
        <v>41</v>
      </c>
      <c r="S53" s="5" t="s">
        <v>430</v>
      </c>
      <c r="T53" s="5" t="s">
        <v>43</v>
      </c>
      <c r="U53" s="5" t="s">
        <v>423</v>
      </c>
      <c r="V53" s="5" t="s">
        <v>424</v>
      </c>
      <c r="W53" s="5" t="s">
        <v>44</v>
      </c>
      <c r="X53" s="5" t="s">
        <v>425</v>
      </c>
      <c r="Y53" s="5" t="s">
        <v>449</v>
      </c>
      <c r="Z53" s="5" t="s">
        <v>415</v>
      </c>
      <c r="AA53" s="6" t="s">
        <v>497</v>
      </c>
      <c r="AB53" s="5" t="s">
        <v>498</v>
      </c>
      <c r="AC53" s="5" t="s">
        <v>499</v>
      </c>
      <c r="AD53" s="5" t="s">
        <v>1108</v>
      </c>
      <c r="AE53" s="9" t="s">
        <v>1109</v>
      </c>
      <c r="AF53" s="5" t="s">
        <v>1111</v>
      </c>
      <c r="AG53" s="8" t="s">
        <v>1106</v>
      </c>
    </row>
    <row r="54" spans="1:33" x14ac:dyDescent="0.4">
      <c r="A54" s="4">
        <v>211</v>
      </c>
      <c r="B54" s="5" t="s">
        <v>400</v>
      </c>
      <c r="C54" s="5" t="s">
        <v>494</v>
      </c>
      <c r="D54" s="5" t="s">
        <v>500</v>
      </c>
      <c r="E54" s="5" t="s">
        <v>403</v>
      </c>
      <c r="F54" s="5" t="s">
        <v>501</v>
      </c>
      <c r="G54" s="5" t="s">
        <v>33</v>
      </c>
      <c r="H54" s="5" t="s">
        <v>405</v>
      </c>
      <c r="I54" s="5" t="s">
        <v>406</v>
      </c>
      <c r="J54" s="5" t="s">
        <v>407</v>
      </c>
      <c r="K54" s="5" t="s">
        <v>408</v>
      </c>
      <c r="L54" s="5" t="s">
        <v>33</v>
      </c>
      <c r="M54" s="5">
        <v>0.5</v>
      </c>
      <c r="N54" s="5">
        <v>77</v>
      </c>
      <c r="O54" s="5">
        <v>39</v>
      </c>
      <c r="P54" s="5" t="s">
        <v>39</v>
      </c>
      <c r="Q54" s="5" t="s">
        <v>40</v>
      </c>
      <c r="R54" s="5" t="s">
        <v>41</v>
      </c>
      <c r="S54" s="5" t="s">
        <v>430</v>
      </c>
      <c r="T54" s="5" t="s">
        <v>43</v>
      </c>
      <c r="U54" s="5" t="s">
        <v>423</v>
      </c>
      <c r="V54" s="5" t="s">
        <v>424</v>
      </c>
      <c r="W54" s="5" t="s">
        <v>44</v>
      </c>
      <c r="X54" s="5" t="s">
        <v>425</v>
      </c>
      <c r="Y54" s="5" t="s">
        <v>449</v>
      </c>
      <c r="Z54" s="5" t="s">
        <v>415</v>
      </c>
      <c r="AA54" s="6" t="s">
        <v>502</v>
      </c>
      <c r="AB54" s="5" t="s">
        <v>503</v>
      </c>
      <c r="AC54" s="5" t="s">
        <v>504</v>
      </c>
      <c r="AD54" s="5" t="s">
        <v>1108</v>
      </c>
      <c r="AE54" s="9" t="s">
        <v>1109</v>
      </c>
      <c r="AF54" s="5" t="s">
        <v>1111</v>
      </c>
      <c r="AG54" s="8" t="s">
        <v>1106</v>
      </c>
    </row>
    <row r="55" spans="1:33" x14ac:dyDescent="0.4">
      <c r="A55" s="4">
        <v>212</v>
      </c>
      <c r="B55" s="5" t="s">
        <v>400</v>
      </c>
      <c r="C55" s="5" t="s">
        <v>494</v>
      </c>
      <c r="D55" s="5" t="s">
        <v>505</v>
      </c>
      <c r="E55" s="5" t="s">
        <v>403</v>
      </c>
      <c r="F55" s="5" t="s">
        <v>506</v>
      </c>
      <c r="G55" s="5" t="s">
        <v>33</v>
      </c>
      <c r="H55" s="5" t="s">
        <v>405</v>
      </c>
      <c r="I55" s="5" t="s">
        <v>406</v>
      </c>
      <c r="J55" s="5" t="s">
        <v>407</v>
      </c>
      <c r="K55" s="5" t="s">
        <v>408</v>
      </c>
      <c r="L55" s="5" t="s">
        <v>33</v>
      </c>
      <c r="M55" s="5">
        <v>0.5</v>
      </c>
      <c r="N55" s="5">
        <v>78</v>
      </c>
      <c r="O55" s="5">
        <v>39</v>
      </c>
      <c r="P55" s="5" t="s">
        <v>39</v>
      </c>
      <c r="Q55" s="5" t="s">
        <v>40</v>
      </c>
      <c r="R55" s="5" t="s">
        <v>41</v>
      </c>
      <c r="S55" s="5" t="s">
        <v>430</v>
      </c>
      <c r="T55" s="5" t="s">
        <v>43</v>
      </c>
      <c r="U55" s="5" t="s">
        <v>423</v>
      </c>
      <c r="V55" s="5" t="s">
        <v>424</v>
      </c>
      <c r="W55" s="5" t="s">
        <v>44</v>
      </c>
      <c r="X55" s="5" t="s">
        <v>425</v>
      </c>
      <c r="Y55" s="5" t="s">
        <v>449</v>
      </c>
      <c r="Z55" s="5" t="s">
        <v>415</v>
      </c>
      <c r="AA55" s="6" t="s">
        <v>507</v>
      </c>
      <c r="AB55" s="5" t="s">
        <v>508</v>
      </c>
      <c r="AC55" s="5" t="s">
        <v>509</v>
      </c>
      <c r="AD55" s="5" t="s">
        <v>1108</v>
      </c>
      <c r="AE55" s="9" t="s">
        <v>1109</v>
      </c>
      <c r="AF55" s="5" t="s">
        <v>1111</v>
      </c>
      <c r="AG55" s="8" t="s">
        <v>1106</v>
      </c>
    </row>
    <row r="56" spans="1:33" x14ac:dyDescent="0.4">
      <c r="A56" s="4">
        <v>213</v>
      </c>
      <c r="B56" s="5" t="s">
        <v>400</v>
      </c>
      <c r="C56" s="5" t="s">
        <v>510</v>
      </c>
      <c r="D56" s="5" t="s">
        <v>511</v>
      </c>
      <c r="E56" s="5" t="s">
        <v>403</v>
      </c>
      <c r="F56" s="5" t="s">
        <v>512</v>
      </c>
      <c r="G56" s="5" t="s">
        <v>33</v>
      </c>
      <c r="H56" s="5" t="s">
        <v>405</v>
      </c>
      <c r="I56" s="5" t="s">
        <v>406</v>
      </c>
      <c r="J56" s="5" t="s">
        <v>407</v>
      </c>
      <c r="K56" s="5" t="s">
        <v>408</v>
      </c>
      <c r="L56" s="5" t="s">
        <v>33</v>
      </c>
      <c r="M56" s="5">
        <v>0.5</v>
      </c>
      <c r="N56" s="5">
        <v>57</v>
      </c>
      <c r="O56" s="5">
        <v>57</v>
      </c>
      <c r="P56" s="5" t="s">
        <v>39</v>
      </c>
      <c r="Q56" s="5" t="s">
        <v>40</v>
      </c>
      <c r="R56" s="5" t="s">
        <v>41</v>
      </c>
      <c r="S56" s="5" t="s">
        <v>430</v>
      </c>
      <c r="T56" s="5" t="s">
        <v>43</v>
      </c>
      <c r="U56" s="5" t="s">
        <v>423</v>
      </c>
      <c r="V56" s="5" t="s">
        <v>424</v>
      </c>
      <c r="W56" s="5" t="s">
        <v>44</v>
      </c>
      <c r="X56" s="5" t="s">
        <v>425</v>
      </c>
      <c r="Y56" s="5" t="s">
        <v>449</v>
      </c>
      <c r="Z56" s="5" t="s">
        <v>440</v>
      </c>
      <c r="AA56" s="6" t="s">
        <v>513</v>
      </c>
      <c r="AB56" s="5" t="s">
        <v>514</v>
      </c>
      <c r="AC56" s="5" t="s">
        <v>515</v>
      </c>
      <c r="AD56" s="5" t="s">
        <v>1108</v>
      </c>
      <c r="AE56" s="9" t="s">
        <v>1109</v>
      </c>
      <c r="AF56" s="5" t="s">
        <v>1112</v>
      </c>
      <c r="AG56" s="7" t="s">
        <v>1107</v>
      </c>
    </row>
    <row r="57" spans="1:33" x14ac:dyDescent="0.4">
      <c r="A57" s="4">
        <v>214</v>
      </c>
      <c r="B57" s="5" t="s">
        <v>400</v>
      </c>
      <c r="C57" s="5" t="s">
        <v>510</v>
      </c>
      <c r="D57" s="5" t="s">
        <v>516</v>
      </c>
      <c r="E57" s="5" t="s">
        <v>403</v>
      </c>
      <c r="F57" s="5" t="s">
        <v>517</v>
      </c>
      <c r="G57" s="5" t="s">
        <v>33</v>
      </c>
      <c r="H57" s="5" t="s">
        <v>518</v>
      </c>
      <c r="I57" s="5" t="s">
        <v>519</v>
      </c>
      <c r="J57" s="5" t="s">
        <v>520</v>
      </c>
      <c r="K57" s="5" t="s">
        <v>521</v>
      </c>
      <c r="L57" s="5" t="s">
        <v>33</v>
      </c>
      <c r="M57" s="5">
        <v>1</v>
      </c>
      <c r="N57" s="5">
        <v>26</v>
      </c>
      <c r="O57" s="5">
        <v>1</v>
      </c>
      <c r="P57" s="5" t="s">
        <v>39</v>
      </c>
      <c r="Q57" s="5" t="s">
        <v>40</v>
      </c>
      <c r="R57" s="5" t="s">
        <v>41</v>
      </c>
      <c r="S57" s="5" t="s">
        <v>522</v>
      </c>
      <c r="T57" s="5" t="s">
        <v>43</v>
      </c>
      <c r="U57" s="5" t="s">
        <v>523</v>
      </c>
      <c r="V57" s="5" t="s">
        <v>524</v>
      </c>
      <c r="W57" s="5" t="s">
        <v>525</v>
      </c>
      <c r="X57" s="5" t="s">
        <v>526</v>
      </c>
      <c r="Y57" s="5" t="s">
        <v>119</v>
      </c>
      <c r="Z57" s="5" t="s">
        <v>527</v>
      </c>
      <c r="AA57" s="6" t="s">
        <v>528</v>
      </c>
      <c r="AB57" s="5" t="s">
        <v>529</v>
      </c>
      <c r="AC57" s="5" t="s">
        <v>530</v>
      </c>
      <c r="AD57" s="5" t="s">
        <v>1104</v>
      </c>
      <c r="AE57" s="5"/>
      <c r="AF57" s="5"/>
      <c r="AG57" s="8" t="s">
        <v>1106</v>
      </c>
    </row>
    <row r="58" spans="1:33" x14ac:dyDescent="0.4">
      <c r="A58" s="4">
        <v>215</v>
      </c>
      <c r="B58" s="5" t="s">
        <v>400</v>
      </c>
      <c r="C58" s="5" t="s">
        <v>510</v>
      </c>
      <c r="D58" s="5" t="s">
        <v>531</v>
      </c>
      <c r="E58" s="5" t="s">
        <v>403</v>
      </c>
      <c r="F58" s="5" t="s">
        <v>532</v>
      </c>
      <c r="G58" s="5" t="s">
        <v>33</v>
      </c>
      <c r="H58" s="5" t="s">
        <v>405</v>
      </c>
      <c r="I58" s="5" t="s">
        <v>406</v>
      </c>
      <c r="J58" s="5" t="s">
        <v>407</v>
      </c>
      <c r="K58" s="5" t="s">
        <v>408</v>
      </c>
      <c r="L58" s="5" t="s">
        <v>33</v>
      </c>
      <c r="M58" s="5">
        <v>0.5</v>
      </c>
      <c r="N58" s="5">
        <v>58</v>
      </c>
      <c r="O58" s="5">
        <v>9</v>
      </c>
      <c r="P58" s="5" t="s">
        <v>39</v>
      </c>
      <c r="Q58" s="5" t="s">
        <v>40</v>
      </c>
      <c r="R58" s="5" t="s">
        <v>41</v>
      </c>
      <c r="S58" s="5" t="s">
        <v>430</v>
      </c>
      <c r="T58" s="5" t="s">
        <v>43</v>
      </c>
      <c r="U58" s="5" t="s">
        <v>423</v>
      </c>
      <c r="V58" s="5" t="s">
        <v>424</v>
      </c>
      <c r="W58" s="5" t="s">
        <v>44</v>
      </c>
      <c r="X58" s="5" t="s">
        <v>425</v>
      </c>
      <c r="Y58" s="5" t="s">
        <v>449</v>
      </c>
      <c r="Z58" s="5" t="s">
        <v>415</v>
      </c>
      <c r="AA58" s="6" t="s">
        <v>533</v>
      </c>
      <c r="AB58" s="5" t="s">
        <v>534</v>
      </c>
      <c r="AC58" s="5" t="s">
        <v>535</v>
      </c>
      <c r="AD58" s="5" t="s">
        <v>1108</v>
      </c>
      <c r="AE58" s="9" t="s">
        <v>1109</v>
      </c>
      <c r="AF58" s="5" t="s">
        <v>1113</v>
      </c>
      <c r="AG58" s="7" t="s">
        <v>1107</v>
      </c>
    </row>
    <row r="59" spans="1:33" x14ac:dyDescent="0.4">
      <c r="A59" s="4">
        <v>216</v>
      </c>
      <c r="B59" s="5" t="s">
        <v>400</v>
      </c>
      <c r="C59" s="5" t="s">
        <v>510</v>
      </c>
      <c r="D59" s="5" t="s">
        <v>536</v>
      </c>
      <c r="E59" s="5" t="s">
        <v>403</v>
      </c>
      <c r="F59" s="5" t="s">
        <v>537</v>
      </c>
      <c r="G59" s="5" t="s">
        <v>33</v>
      </c>
      <c r="H59" s="5" t="s">
        <v>405</v>
      </c>
      <c r="I59" s="5" t="s">
        <v>406</v>
      </c>
      <c r="J59" s="5" t="s">
        <v>407</v>
      </c>
      <c r="K59" s="5" t="s">
        <v>408</v>
      </c>
      <c r="L59" s="5" t="s">
        <v>33</v>
      </c>
      <c r="M59" s="5">
        <v>0.5</v>
      </c>
      <c r="N59" s="5">
        <v>59</v>
      </c>
      <c r="O59" s="5">
        <v>23</v>
      </c>
      <c r="P59" s="5" t="s">
        <v>39</v>
      </c>
      <c r="Q59" s="5" t="s">
        <v>40</v>
      </c>
      <c r="R59" s="5" t="s">
        <v>41</v>
      </c>
      <c r="S59" s="5" t="s">
        <v>430</v>
      </c>
      <c r="T59" s="5" t="s">
        <v>43</v>
      </c>
      <c r="U59" s="5" t="s">
        <v>423</v>
      </c>
      <c r="V59" s="5" t="s">
        <v>424</v>
      </c>
      <c r="W59" s="5" t="s">
        <v>44</v>
      </c>
      <c r="X59" s="5" t="s">
        <v>425</v>
      </c>
      <c r="Y59" s="5" t="s">
        <v>449</v>
      </c>
      <c r="Z59" s="5" t="s">
        <v>415</v>
      </c>
      <c r="AA59" s="6" t="s">
        <v>538</v>
      </c>
      <c r="AB59" s="5" t="s">
        <v>539</v>
      </c>
      <c r="AC59" s="5" t="s">
        <v>540</v>
      </c>
      <c r="AD59" s="5" t="s">
        <v>1108</v>
      </c>
      <c r="AE59" s="9" t="s">
        <v>1109</v>
      </c>
      <c r="AF59" s="5" t="s">
        <v>1114</v>
      </c>
      <c r="AG59" s="7" t="s">
        <v>1107</v>
      </c>
    </row>
    <row r="60" spans="1:33" x14ac:dyDescent="0.4">
      <c r="A60" s="4">
        <v>217</v>
      </c>
      <c r="B60" s="5" t="s">
        <v>400</v>
      </c>
      <c r="C60" s="5" t="s">
        <v>510</v>
      </c>
      <c r="D60" s="5" t="s">
        <v>541</v>
      </c>
      <c r="E60" s="5" t="s">
        <v>403</v>
      </c>
      <c r="F60" s="5" t="s">
        <v>542</v>
      </c>
      <c r="G60" s="5" t="s">
        <v>33</v>
      </c>
      <c r="H60" s="5" t="s">
        <v>405</v>
      </c>
      <c r="I60" s="5" t="s">
        <v>406</v>
      </c>
      <c r="J60" s="5" t="s">
        <v>407</v>
      </c>
      <c r="K60" s="5" t="s">
        <v>408</v>
      </c>
      <c r="L60" s="5" t="s">
        <v>33</v>
      </c>
      <c r="M60" s="5">
        <v>0.5</v>
      </c>
      <c r="N60" s="5">
        <v>60</v>
      </c>
      <c r="O60" s="5">
        <v>2512</v>
      </c>
      <c r="P60" s="5" t="s">
        <v>39</v>
      </c>
      <c r="Q60" s="5" t="s">
        <v>40</v>
      </c>
      <c r="R60" s="5" t="s">
        <v>41</v>
      </c>
      <c r="S60" s="5" t="s">
        <v>430</v>
      </c>
      <c r="T60" s="5" t="s">
        <v>43</v>
      </c>
      <c r="U60" s="5" t="s">
        <v>423</v>
      </c>
      <c r="V60" s="5" t="s">
        <v>424</v>
      </c>
      <c r="W60" s="5" t="s">
        <v>44</v>
      </c>
      <c r="X60" s="5" t="s">
        <v>425</v>
      </c>
      <c r="Y60" s="5" t="s">
        <v>449</v>
      </c>
      <c r="Z60" s="5" t="s">
        <v>415</v>
      </c>
      <c r="AA60" s="6" t="s">
        <v>543</v>
      </c>
      <c r="AB60" s="5" t="s">
        <v>544</v>
      </c>
      <c r="AC60" s="5" t="s">
        <v>545</v>
      </c>
      <c r="AD60" s="5" t="s">
        <v>1108</v>
      </c>
      <c r="AE60" s="5"/>
      <c r="AF60" s="5"/>
      <c r="AG60" s="7" t="s">
        <v>1107</v>
      </c>
    </row>
    <row r="61" spans="1:33" x14ac:dyDescent="0.4">
      <c r="A61" s="4">
        <v>218</v>
      </c>
      <c r="B61" s="5" t="s">
        <v>400</v>
      </c>
      <c r="C61" s="5" t="s">
        <v>510</v>
      </c>
      <c r="D61" s="5" t="s">
        <v>546</v>
      </c>
      <c r="E61" s="5" t="s">
        <v>403</v>
      </c>
      <c r="F61" s="5" t="s">
        <v>547</v>
      </c>
      <c r="G61" s="5" t="s">
        <v>33</v>
      </c>
      <c r="H61" s="5" t="s">
        <v>405</v>
      </c>
      <c r="I61" s="5" t="s">
        <v>406</v>
      </c>
      <c r="J61" s="5" t="s">
        <v>407</v>
      </c>
      <c r="K61" s="5" t="s">
        <v>408</v>
      </c>
      <c r="L61" s="5" t="s">
        <v>33</v>
      </c>
      <c r="M61" s="5">
        <v>0.5</v>
      </c>
      <c r="N61" s="5">
        <v>61</v>
      </c>
      <c r="O61" s="5">
        <v>6</v>
      </c>
      <c r="P61" s="5" t="s">
        <v>39</v>
      </c>
      <c r="Q61" s="5" t="s">
        <v>40</v>
      </c>
      <c r="R61" s="5" t="s">
        <v>41</v>
      </c>
      <c r="S61" s="5" t="s">
        <v>430</v>
      </c>
      <c r="T61" s="5" t="s">
        <v>43</v>
      </c>
      <c r="U61" s="5" t="s">
        <v>423</v>
      </c>
      <c r="V61" s="5" t="s">
        <v>424</v>
      </c>
      <c r="W61" s="5" t="s">
        <v>44</v>
      </c>
      <c r="X61" s="5" t="s">
        <v>425</v>
      </c>
      <c r="Y61" s="5" t="s">
        <v>449</v>
      </c>
      <c r="Z61" s="5" t="s">
        <v>415</v>
      </c>
      <c r="AA61" s="6" t="s">
        <v>548</v>
      </c>
      <c r="AB61" s="5" t="s">
        <v>549</v>
      </c>
      <c r="AC61" s="5" t="s">
        <v>550</v>
      </c>
      <c r="AD61" s="5" t="s">
        <v>1108</v>
      </c>
      <c r="AE61" s="5"/>
      <c r="AF61" s="5"/>
      <c r="AG61" s="7" t="s">
        <v>1107</v>
      </c>
    </row>
    <row r="62" spans="1:33" x14ac:dyDescent="0.4">
      <c r="A62" s="4">
        <v>219</v>
      </c>
      <c r="B62" s="5" t="s">
        <v>400</v>
      </c>
      <c r="C62" s="5" t="s">
        <v>510</v>
      </c>
      <c r="D62" s="5" t="s">
        <v>551</v>
      </c>
      <c r="E62" s="5" t="s">
        <v>403</v>
      </c>
      <c r="F62" s="5" t="s">
        <v>552</v>
      </c>
      <c r="G62" s="5" t="s">
        <v>33</v>
      </c>
      <c r="H62" s="5" t="s">
        <v>405</v>
      </c>
      <c r="I62" s="5" t="s">
        <v>406</v>
      </c>
      <c r="J62" s="5" t="s">
        <v>407</v>
      </c>
      <c r="K62" s="5" t="s">
        <v>408</v>
      </c>
      <c r="L62" s="5" t="s">
        <v>33</v>
      </c>
      <c r="M62" s="5">
        <v>0.5</v>
      </c>
      <c r="N62" s="5">
        <v>172</v>
      </c>
      <c r="O62" s="5">
        <v>0</v>
      </c>
      <c r="P62" s="5" t="s">
        <v>1098</v>
      </c>
      <c r="Q62" s="5" t="s">
        <v>1098</v>
      </c>
      <c r="R62" s="5" t="s">
        <v>1098</v>
      </c>
      <c r="S62" s="5" t="s">
        <v>1098</v>
      </c>
      <c r="T62" s="5" t="s">
        <v>422</v>
      </c>
      <c r="U62" s="5" t="s">
        <v>423</v>
      </c>
      <c r="V62" s="5" t="s">
        <v>424</v>
      </c>
      <c r="W62" s="5" t="s">
        <v>44</v>
      </c>
      <c r="X62" s="5" t="s">
        <v>425</v>
      </c>
      <c r="Y62" s="5">
        <v>0</v>
      </c>
      <c r="Z62" s="5" t="s">
        <v>415</v>
      </c>
      <c r="AA62" s="6" t="s">
        <v>553</v>
      </c>
      <c r="AB62" s="5"/>
      <c r="AC62" s="5"/>
      <c r="AD62" s="5"/>
      <c r="AE62" s="5"/>
      <c r="AF62" s="5"/>
      <c r="AG62" s="7"/>
    </row>
    <row r="63" spans="1:33" x14ac:dyDescent="0.4">
      <c r="A63" s="4">
        <v>220</v>
      </c>
      <c r="B63" s="5" t="s">
        <v>400</v>
      </c>
      <c r="C63" s="5" t="s">
        <v>510</v>
      </c>
      <c r="D63" s="5" t="s">
        <v>554</v>
      </c>
      <c r="E63" s="5" t="s">
        <v>403</v>
      </c>
      <c r="F63" s="5" t="s">
        <v>555</v>
      </c>
      <c r="G63" s="5" t="s">
        <v>33</v>
      </c>
      <c r="H63" s="5" t="s">
        <v>405</v>
      </c>
      <c r="I63" s="5" t="s">
        <v>406</v>
      </c>
      <c r="J63" s="5" t="s">
        <v>407</v>
      </c>
      <c r="K63" s="5" t="s">
        <v>408</v>
      </c>
      <c r="L63" s="5" t="s">
        <v>33</v>
      </c>
      <c r="M63" s="5">
        <v>0.5</v>
      </c>
      <c r="N63" s="5">
        <v>62</v>
      </c>
      <c r="O63" s="5">
        <v>13</v>
      </c>
      <c r="P63" s="5" t="s">
        <v>39</v>
      </c>
      <c r="Q63" s="5" t="s">
        <v>40</v>
      </c>
      <c r="R63" s="5" t="s">
        <v>41</v>
      </c>
      <c r="S63" s="5" t="s">
        <v>430</v>
      </c>
      <c r="T63" s="5" t="s">
        <v>43</v>
      </c>
      <c r="U63" s="5" t="s">
        <v>423</v>
      </c>
      <c r="V63" s="5" t="s">
        <v>424</v>
      </c>
      <c r="W63" s="5" t="s">
        <v>44</v>
      </c>
      <c r="X63" s="5" t="s">
        <v>425</v>
      </c>
      <c r="Y63" s="5" t="s">
        <v>449</v>
      </c>
      <c r="Z63" s="5" t="s">
        <v>415</v>
      </c>
      <c r="AA63" s="6" t="s">
        <v>556</v>
      </c>
      <c r="AB63" s="5" t="s">
        <v>557</v>
      </c>
      <c r="AC63" s="5" t="s">
        <v>558</v>
      </c>
      <c r="AD63" s="5" t="s">
        <v>1104</v>
      </c>
      <c r="AE63" s="5"/>
      <c r="AF63" s="5"/>
      <c r="AG63" s="7" t="s">
        <v>1107</v>
      </c>
    </row>
    <row r="64" spans="1:33" x14ac:dyDescent="0.4">
      <c r="A64" s="4">
        <v>221</v>
      </c>
      <c r="B64" s="5" t="s">
        <v>400</v>
      </c>
      <c r="C64" s="5" t="s">
        <v>510</v>
      </c>
      <c r="D64" s="5" t="s">
        <v>559</v>
      </c>
      <c r="E64" s="5" t="s">
        <v>403</v>
      </c>
      <c r="F64" s="5" t="s">
        <v>560</v>
      </c>
      <c r="G64" s="5" t="s">
        <v>33</v>
      </c>
      <c r="H64" s="5" t="s">
        <v>561</v>
      </c>
      <c r="I64" s="5" t="s">
        <v>562</v>
      </c>
      <c r="J64" s="5" t="s">
        <v>563</v>
      </c>
      <c r="K64" s="5" t="s">
        <v>564</v>
      </c>
      <c r="L64" s="5" t="s">
        <v>33</v>
      </c>
      <c r="M64" s="5">
        <v>1.5</v>
      </c>
      <c r="N64" s="5">
        <v>39</v>
      </c>
      <c r="O64" s="5">
        <v>12</v>
      </c>
      <c r="P64" s="5" t="s">
        <v>39</v>
      </c>
      <c r="Q64" s="5" t="s">
        <v>40</v>
      </c>
      <c r="R64" s="5" t="s">
        <v>41</v>
      </c>
      <c r="S64" s="5" t="s">
        <v>430</v>
      </c>
      <c r="T64" s="5" t="s">
        <v>43</v>
      </c>
      <c r="U64" s="5" t="s">
        <v>44</v>
      </c>
      <c r="V64" s="5" t="s">
        <v>565</v>
      </c>
      <c r="W64" s="5" t="s">
        <v>44</v>
      </c>
      <c r="X64" s="5" t="s">
        <v>566</v>
      </c>
      <c r="Y64" s="5" t="s">
        <v>47</v>
      </c>
      <c r="Z64" s="5" t="s">
        <v>567</v>
      </c>
      <c r="AA64" s="6" t="s">
        <v>568</v>
      </c>
      <c r="AB64" s="5" t="s">
        <v>569</v>
      </c>
      <c r="AC64" s="5" t="s">
        <v>570</v>
      </c>
      <c r="AD64" s="5" t="s">
        <v>1108</v>
      </c>
      <c r="AE64" s="5"/>
      <c r="AF64" s="5"/>
      <c r="AG64" s="8" t="s">
        <v>1106</v>
      </c>
    </row>
    <row r="65" spans="1:33" x14ac:dyDescent="0.4">
      <c r="A65" s="4">
        <v>222</v>
      </c>
      <c r="B65" s="5" t="s">
        <v>400</v>
      </c>
      <c r="C65" s="5" t="s">
        <v>510</v>
      </c>
      <c r="D65" s="5" t="s">
        <v>571</v>
      </c>
      <c r="E65" s="5" t="s">
        <v>403</v>
      </c>
      <c r="F65" s="5" t="s">
        <v>572</v>
      </c>
      <c r="G65" s="5" t="s">
        <v>33</v>
      </c>
      <c r="H65" s="5" t="s">
        <v>405</v>
      </c>
      <c r="I65" s="5" t="s">
        <v>406</v>
      </c>
      <c r="J65" s="5" t="s">
        <v>407</v>
      </c>
      <c r="K65" s="5" t="s">
        <v>408</v>
      </c>
      <c r="L65" s="5" t="s">
        <v>33</v>
      </c>
      <c r="M65" s="5">
        <v>0.5</v>
      </c>
      <c r="N65" s="5">
        <v>63</v>
      </c>
      <c r="O65" s="5">
        <v>2361</v>
      </c>
      <c r="P65" s="5" t="s">
        <v>39</v>
      </c>
      <c r="Q65" s="5" t="s">
        <v>40</v>
      </c>
      <c r="R65" s="5" t="s">
        <v>41</v>
      </c>
      <c r="S65" s="5" t="s">
        <v>430</v>
      </c>
      <c r="T65" s="5" t="s">
        <v>43</v>
      </c>
      <c r="U65" s="5" t="s">
        <v>423</v>
      </c>
      <c r="V65" s="5" t="s">
        <v>424</v>
      </c>
      <c r="W65" s="5" t="s">
        <v>44</v>
      </c>
      <c r="X65" s="5" t="s">
        <v>425</v>
      </c>
      <c r="Y65" s="5" t="s">
        <v>449</v>
      </c>
      <c r="Z65" s="5" t="s">
        <v>415</v>
      </c>
      <c r="AA65" s="6" t="s">
        <v>573</v>
      </c>
      <c r="AB65" s="5" t="s">
        <v>574</v>
      </c>
      <c r="AC65" s="5" t="s">
        <v>575</v>
      </c>
      <c r="AD65" s="5" t="s">
        <v>1104</v>
      </c>
      <c r="AE65" s="5"/>
      <c r="AF65" s="5"/>
      <c r="AG65" s="7" t="s">
        <v>1107</v>
      </c>
    </row>
    <row r="66" spans="1:33" x14ac:dyDescent="0.4">
      <c r="A66" s="4">
        <v>223</v>
      </c>
      <c r="B66" s="5" t="s">
        <v>400</v>
      </c>
      <c r="C66" s="5" t="s">
        <v>576</v>
      </c>
      <c r="D66" s="5" t="s">
        <v>577</v>
      </c>
      <c r="E66" s="5" t="s">
        <v>403</v>
      </c>
      <c r="F66" s="5" t="s">
        <v>578</v>
      </c>
      <c r="G66" s="5" t="s">
        <v>33</v>
      </c>
      <c r="H66" s="5" t="s">
        <v>405</v>
      </c>
      <c r="I66" s="5" t="s">
        <v>406</v>
      </c>
      <c r="J66" s="5" t="s">
        <v>407</v>
      </c>
      <c r="K66" s="5" t="s">
        <v>408</v>
      </c>
      <c r="L66" s="5" t="s">
        <v>33</v>
      </c>
      <c r="M66" s="5">
        <v>0.5</v>
      </c>
      <c r="N66" s="5">
        <v>68</v>
      </c>
      <c r="O66" s="5">
        <v>24</v>
      </c>
      <c r="P66" s="5" t="s">
        <v>39</v>
      </c>
      <c r="Q66" s="5" t="s">
        <v>40</v>
      </c>
      <c r="R66" s="5" t="s">
        <v>41</v>
      </c>
      <c r="S66" s="5" t="s">
        <v>430</v>
      </c>
      <c r="T66" s="5" t="s">
        <v>43</v>
      </c>
      <c r="U66" s="5" t="s">
        <v>423</v>
      </c>
      <c r="V66" s="5" t="s">
        <v>424</v>
      </c>
      <c r="W66" s="5" t="s">
        <v>44</v>
      </c>
      <c r="X66" s="5" t="s">
        <v>425</v>
      </c>
      <c r="Y66" s="5" t="s">
        <v>449</v>
      </c>
      <c r="Z66" s="5" t="s">
        <v>415</v>
      </c>
      <c r="AA66" s="6" t="s">
        <v>579</v>
      </c>
      <c r="AB66" s="5" t="s">
        <v>580</v>
      </c>
      <c r="AC66" s="5" t="s">
        <v>581</v>
      </c>
      <c r="AD66" s="5" t="s">
        <v>1104</v>
      </c>
      <c r="AE66" s="5"/>
      <c r="AF66" s="5"/>
      <c r="AG66" s="8" t="s">
        <v>1106</v>
      </c>
    </row>
    <row r="67" spans="1:33" x14ac:dyDescent="0.4">
      <c r="A67" s="4">
        <v>224</v>
      </c>
      <c r="B67" s="5" t="s">
        <v>400</v>
      </c>
      <c r="C67" s="5" t="s">
        <v>510</v>
      </c>
      <c r="D67" s="5" t="s">
        <v>582</v>
      </c>
      <c r="E67" s="5" t="s">
        <v>403</v>
      </c>
      <c r="F67" s="5" t="s">
        <v>583</v>
      </c>
      <c r="G67" s="5" t="s">
        <v>33</v>
      </c>
      <c r="H67" s="5" t="s">
        <v>518</v>
      </c>
      <c r="I67" s="5" t="s">
        <v>519</v>
      </c>
      <c r="J67" s="5" t="s">
        <v>520</v>
      </c>
      <c r="K67" s="5" t="s">
        <v>521</v>
      </c>
      <c r="L67" s="5" t="s">
        <v>33</v>
      </c>
      <c r="M67" s="5">
        <v>1</v>
      </c>
      <c r="N67" s="5">
        <v>27</v>
      </c>
      <c r="O67" s="5">
        <v>1</v>
      </c>
      <c r="P67" s="5" t="s">
        <v>39</v>
      </c>
      <c r="Q67" s="5" t="s">
        <v>40</v>
      </c>
      <c r="R67" s="5" t="s">
        <v>41</v>
      </c>
      <c r="S67" s="5" t="s">
        <v>522</v>
      </c>
      <c r="T67" s="5" t="s">
        <v>43</v>
      </c>
      <c r="U67" s="5" t="s">
        <v>584</v>
      </c>
      <c r="V67" s="5" t="s">
        <v>585</v>
      </c>
      <c r="W67" s="5" t="s">
        <v>44</v>
      </c>
      <c r="X67" s="5" t="s">
        <v>586</v>
      </c>
      <c r="Y67" s="5" t="s">
        <v>119</v>
      </c>
      <c r="Z67" s="5" t="s">
        <v>527</v>
      </c>
      <c r="AA67" s="6" t="s">
        <v>528</v>
      </c>
      <c r="AB67" s="5" t="s">
        <v>587</v>
      </c>
      <c r="AC67" s="5" t="s">
        <v>588</v>
      </c>
      <c r="AD67" s="5" t="s">
        <v>1104</v>
      </c>
      <c r="AE67" s="5"/>
      <c r="AF67" s="5"/>
      <c r="AG67" s="8" t="s">
        <v>1106</v>
      </c>
    </row>
    <row r="68" spans="1:33" x14ac:dyDescent="0.4">
      <c r="A68" s="4">
        <v>225</v>
      </c>
      <c r="B68" s="5" t="s">
        <v>400</v>
      </c>
      <c r="C68" s="5" t="s">
        <v>510</v>
      </c>
      <c r="D68" s="5" t="s">
        <v>589</v>
      </c>
      <c r="E68" s="5" t="s">
        <v>403</v>
      </c>
      <c r="F68" s="5" t="s">
        <v>590</v>
      </c>
      <c r="G68" s="5" t="s">
        <v>33</v>
      </c>
      <c r="H68" s="5" t="s">
        <v>405</v>
      </c>
      <c r="I68" s="5" t="s">
        <v>406</v>
      </c>
      <c r="J68" s="5" t="s">
        <v>407</v>
      </c>
      <c r="K68" s="5" t="s">
        <v>408</v>
      </c>
      <c r="L68" s="5" t="s">
        <v>33</v>
      </c>
      <c r="M68" s="5">
        <v>0.5</v>
      </c>
      <c r="N68" s="5">
        <v>64</v>
      </c>
      <c r="O68" s="5">
        <v>4</v>
      </c>
      <c r="P68" s="5" t="s">
        <v>39</v>
      </c>
      <c r="Q68" s="5" t="s">
        <v>40</v>
      </c>
      <c r="R68" s="5" t="s">
        <v>41</v>
      </c>
      <c r="S68" s="5" t="s">
        <v>430</v>
      </c>
      <c r="T68" s="5" t="s">
        <v>43</v>
      </c>
      <c r="U68" s="5" t="s">
        <v>423</v>
      </c>
      <c r="V68" s="5" t="s">
        <v>424</v>
      </c>
      <c r="W68" s="5" t="s">
        <v>44</v>
      </c>
      <c r="X68" s="5" t="s">
        <v>425</v>
      </c>
      <c r="Y68" s="5" t="s">
        <v>449</v>
      </c>
      <c r="Z68" s="5" t="s">
        <v>415</v>
      </c>
      <c r="AA68" s="6" t="s">
        <v>591</v>
      </c>
      <c r="AB68" s="5" t="s">
        <v>592</v>
      </c>
      <c r="AC68" s="5" t="s">
        <v>593</v>
      </c>
      <c r="AD68" s="5" t="s">
        <v>1104</v>
      </c>
      <c r="AE68" s="5"/>
      <c r="AF68" s="5"/>
      <c r="AG68" s="7" t="s">
        <v>1107</v>
      </c>
    </row>
    <row r="69" spans="1:33" x14ac:dyDescent="0.4">
      <c r="A69" s="4">
        <v>226</v>
      </c>
      <c r="B69" s="5" t="s">
        <v>400</v>
      </c>
      <c r="C69" s="5" t="s">
        <v>510</v>
      </c>
      <c r="D69" s="5" t="s">
        <v>594</v>
      </c>
      <c r="E69" s="5" t="s">
        <v>403</v>
      </c>
      <c r="F69" s="5" t="s">
        <v>595</v>
      </c>
      <c r="G69" s="5" t="s">
        <v>33</v>
      </c>
      <c r="H69" s="5" t="s">
        <v>405</v>
      </c>
      <c r="I69" s="5" t="s">
        <v>406</v>
      </c>
      <c r="J69" s="5" t="s">
        <v>407</v>
      </c>
      <c r="K69" s="5" t="s">
        <v>408</v>
      </c>
      <c r="L69" s="5" t="s">
        <v>33</v>
      </c>
      <c r="M69" s="5">
        <v>0.5</v>
      </c>
      <c r="N69" s="5">
        <v>173</v>
      </c>
      <c r="O69" s="5">
        <v>0</v>
      </c>
      <c r="P69" s="5" t="s">
        <v>1098</v>
      </c>
      <c r="Q69" s="5" t="s">
        <v>1098</v>
      </c>
      <c r="R69" s="5" t="s">
        <v>1098</v>
      </c>
      <c r="S69" s="5" t="s">
        <v>1098</v>
      </c>
      <c r="T69" s="5" t="s">
        <v>422</v>
      </c>
      <c r="U69" s="5" t="s">
        <v>423</v>
      </c>
      <c r="V69" s="5" t="s">
        <v>424</v>
      </c>
      <c r="W69" s="5" t="s">
        <v>44</v>
      </c>
      <c r="X69" s="5" t="s">
        <v>425</v>
      </c>
      <c r="Y69" s="5">
        <v>0</v>
      </c>
      <c r="Z69" s="5" t="s">
        <v>415</v>
      </c>
      <c r="AA69" s="6" t="s">
        <v>596</v>
      </c>
      <c r="AB69" s="5"/>
      <c r="AC69" s="5"/>
      <c r="AD69" s="5"/>
      <c r="AE69" s="5"/>
      <c r="AF69" s="5"/>
      <c r="AG69" s="7"/>
    </row>
    <row r="70" spans="1:33" x14ac:dyDescent="0.4">
      <c r="A70" s="4">
        <v>227</v>
      </c>
      <c r="B70" s="5" t="s">
        <v>400</v>
      </c>
      <c r="C70" s="5" t="s">
        <v>510</v>
      </c>
      <c r="D70" s="5" t="s">
        <v>597</v>
      </c>
      <c r="E70" s="5" t="s">
        <v>403</v>
      </c>
      <c r="F70" s="5" t="s">
        <v>598</v>
      </c>
      <c r="G70" s="5" t="s">
        <v>33</v>
      </c>
      <c r="H70" s="5" t="s">
        <v>405</v>
      </c>
      <c r="I70" s="5" t="s">
        <v>406</v>
      </c>
      <c r="J70" s="5" t="s">
        <v>407</v>
      </c>
      <c r="K70" s="5" t="s">
        <v>408</v>
      </c>
      <c r="L70" s="5" t="s">
        <v>33</v>
      </c>
      <c r="M70" s="5">
        <v>0.5</v>
      </c>
      <c r="N70" s="5">
        <v>174</v>
      </c>
      <c r="O70" s="5">
        <v>0</v>
      </c>
      <c r="P70" s="5" t="s">
        <v>1098</v>
      </c>
      <c r="Q70" s="5" t="s">
        <v>1098</v>
      </c>
      <c r="R70" s="5" t="s">
        <v>1098</v>
      </c>
      <c r="S70" s="5" t="s">
        <v>1098</v>
      </c>
      <c r="T70" s="5" t="s">
        <v>422</v>
      </c>
      <c r="U70" s="5" t="s">
        <v>423</v>
      </c>
      <c r="V70" s="5" t="s">
        <v>424</v>
      </c>
      <c r="W70" s="5" t="s">
        <v>44</v>
      </c>
      <c r="X70" s="5" t="s">
        <v>425</v>
      </c>
      <c r="Y70" s="5">
        <v>0</v>
      </c>
      <c r="Z70" s="5" t="s">
        <v>415</v>
      </c>
      <c r="AA70" s="6" t="s">
        <v>599</v>
      </c>
      <c r="AB70" s="5"/>
      <c r="AC70" s="5"/>
      <c r="AD70" s="5"/>
      <c r="AE70" s="5"/>
      <c r="AF70" s="5"/>
      <c r="AG70" s="7"/>
    </row>
    <row r="71" spans="1:33" x14ac:dyDescent="0.4">
      <c r="A71" s="4">
        <v>228</v>
      </c>
      <c r="B71" s="5" t="s">
        <v>400</v>
      </c>
      <c r="C71" s="5" t="s">
        <v>427</v>
      </c>
      <c r="D71" s="5" t="s">
        <v>600</v>
      </c>
      <c r="E71" s="5" t="s">
        <v>403</v>
      </c>
      <c r="F71" s="5" t="s">
        <v>601</v>
      </c>
      <c r="G71" s="5" t="s">
        <v>33</v>
      </c>
      <c r="H71" s="5" t="s">
        <v>405</v>
      </c>
      <c r="I71" s="5" t="s">
        <v>406</v>
      </c>
      <c r="J71" s="5" t="s">
        <v>407</v>
      </c>
      <c r="K71" s="5" t="s">
        <v>408</v>
      </c>
      <c r="L71" s="5" t="s">
        <v>33</v>
      </c>
      <c r="M71" s="5">
        <v>0.5</v>
      </c>
      <c r="N71" s="5">
        <v>103</v>
      </c>
      <c r="O71" s="5">
        <v>3</v>
      </c>
      <c r="P71" s="5" t="s">
        <v>39</v>
      </c>
      <c r="Q71" s="5" t="s">
        <v>249</v>
      </c>
      <c r="R71" s="5" t="s">
        <v>250</v>
      </c>
      <c r="S71" s="5" t="s">
        <v>115</v>
      </c>
      <c r="T71" s="5" t="s">
        <v>251</v>
      </c>
      <c r="U71" s="5" t="s">
        <v>602</v>
      </c>
      <c r="V71" s="5" t="s">
        <v>603</v>
      </c>
      <c r="W71" s="5" t="s">
        <v>604</v>
      </c>
      <c r="X71" s="5" t="s">
        <v>605</v>
      </c>
      <c r="Y71" s="5" t="s">
        <v>256</v>
      </c>
      <c r="Z71" s="5" t="s">
        <v>415</v>
      </c>
      <c r="AA71" s="6" t="s">
        <v>258</v>
      </c>
      <c r="AB71" s="5" t="s">
        <v>606</v>
      </c>
      <c r="AC71" s="5" t="s">
        <v>607</v>
      </c>
      <c r="AD71" s="5"/>
      <c r="AE71" s="5"/>
      <c r="AF71" s="5"/>
      <c r="AG71" s="7"/>
    </row>
    <row r="72" spans="1:33" x14ac:dyDescent="0.4">
      <c r="A72" s="4">
        <v>229</v>
      </c>
      <c r="B72" s="5" t="s">
        <v>400</v>
      </c>
      <c r="C72" s="5" t="s">
        <v>608</v>
      </c>
      <c r="D72" s="5" t="s">
        <v>609</v>
      </c>
      <c r="E72" s="5" t="s">
        <v>403</v>
      </c>
      <c r="F72" s="5" t="s">
        <v>610</v>
      </c>
      <c r="G72" s="5" t="s">
        <v>33</v>
      </c>
      <c r="H72" s="5" t="s">
        <v>405</v>
      </c>
      <c r="I72" s="5" t="s">
        <v>406</v>
      </c>
      <c r="J72" s="5" t="s">
        <v>407</v>
      </c>
      <c r="K72" s="5" t="s">
        <v>408</v>
      </c>
      <c r="L72" s="5" t="s">
        <v>33</v>
      </c>
      <c r="M72" s="5">
        <v>0.5</v>
      </c>
      <c r="N72" s="5">
        <v>80</v>
      </c>
      <c r="O72" s="5">
        <v>6</v>
      </c>
      <c r="P72" s="5" t="s">
        <v>39</v>
      </c>
      <c r="Q72" s="5" t="s">
        <v>40</v>
      </c>
      <c r="R72" s="5" t="s">
        <v>41</v>
      </c>
      <c r="S72" s="5" t="s">
        <v>430</v>
      </c>
      <c r="T72" s="5" t="s">
        <v>43</v>
      </c>
      <c r="U72" s="5" t="s">
        <v>423</v>
      </c>
      <c r="V72" s="5" t="s">
        <v>424</v>
      </c>
      <c r="W72" s="5" t="s">
        <v>44</v>
      </c>
      <c r="X72" s="5" t="s">
        <v>425</v>
      </c>
      <c r="Y72" s="5" t="s">
        <v>449</v>
      </c>
      <c r="Z72" s="5" t="s">
        <v>415</v>
      </c>
      <c r="AA72" s="6" t="s">
        <v>611</v>
      </c>
      <c r="AB72" s="5" t="s">
        <v>612</v>
      </c>
      <c r="AC72" s="5" t="s">
        <v>613</v>
      </c>
      <c r="AD72" s="5"/>
      <c r="AE72" s="5"/>
      <c r="AF72" s="5"/>
      <c r="AG72" s="7"/>
    </row>
    <row r="73" spans="1:33" x14ac:dyDescent="0.4">
      <c r="A73" s="4">
        <v>230</v>
      </c>
      <c r="B73" s="5" t="s">
        <v>400</v>
      </c>
      <c r="C73" s="5" t="s">
        <v>614</v>
      </c>
      <c r="D73" s="5" t="s">
        <v>615</v>
      </c>
      <c r="E73" s="5" t="s">
        <v>403</v>
      </c>
      <c r="F73" s="5"/>
      <c r="G73" s="5" t="s">
        <v>33</v>
      </c>
      <c r="H73" s="5" t="s">
        <v>405</v>
      </c>
      <c r="I73" s="5" t="s">
        <v>406</v>
      </c>
      <c r="J73" s="5" t="s">
        <v>407</v>
      </c>
      <c r="K73" s="5" t="s">
        <v>408</v>
      </c>
      <c r="L73" s="5" t="s">
        <v>33</v>
      </c>
      <c r="M73" s="5">
        <v>0.5</v>
      </c>
      <c r="N73" s="5">
        <v>175</v>
      </c>
      <c r="O73" s="5">
        <v>0</v>
      </c>
      <c r="P73" s="5" t="s">
        <v>1098</v>
      </c>
      <c r="Q73" s="5" t="s">
        <v>1098</v>
      </c>
      <c r="R73" s="5" t="s">
        <v>1098</v>
      </c>
      <c r="S73" s="5" t="s">
        <v>1098</v>
      </c>
      <c r="T73" s="5" t="s">
        <v>422</v>
      </c>
      <c r="U73" s="5" t="s">
        <v>423</v>
      </c>
      <c r="V73" s="5" t="s">
        <v>424</v>
      </c>
      <c r="W73" s="5" t="s">
        <v>44</v>
      </c>
      <c r="X73" s="5" t="s">
        <v>425</v>
      </c>
      <c r="Y73" s="5">
        <v>0</v>
      </c>
      <c r="Z73" s="5" t="s">
        <v>415</v>
      </c>
      <c r="AA73" s="6" t="s">
        <v>616</v>
      </c>
      <c r="AB73" s="5"/>
      <c r="AC73" s="5"/>
      <c r="AD73" s="5"/>
      <c r="AE73" s="5"/>
      <c r="AF73" s="5"/>
      <c r="AG73" s="7"/>
    </row>
    <row r="74" spans="1:33" x14ac:dyDescent="0.4">
      <c r="A74" s="4">
        <v>231</v>
      </c>
      <c r="B74" s="5" t="s">
        <v>400</v>
      </c>
      <c r="C74" s="5" t="s">
        <v>617</v>
      </c>
      <c r="D74" s="5" t="s">
        <v>618</v>
      </c>
      <c r="E74" s="5" t="s">
        <v>403</v>
      </c>
      <c r="F74" s="5" t="s">
        <v>619</v>
      </c>
      <c r="G74" s="5" t="s">
        <v>33</v>
      </c>
      <c r="H74" s="5" t="s">
        <v>405</v>
      </c>
      <c r="I74" s="5" t="s">
        <v>406</v>
      </c>
      <c r="J74" s="5" t="s">
        <v>407</v>
      </c>
      <c r="K74" s="5" t="s">
        <v>408</v>
      </c>
      <c r="L74" s="5" t="s">
        <v>33</v>
      </c>
      <c r="M74" s="5">
        <v>0.5</v>
      </c>
      <c r="N74" s="5">
        <v>176</v>
      </c>
      <c r="O74" s="5">
        <v>0</v>
      </c>
      <c r="P74" s="5" t="s">
        <v>1098</v>
      </c>
      <c r="Q74" s="5" t="s">
        <v>1098</v>
      </c>
      <c r="R74" s="5" t="s">
        <v>1098</v>
      </c>
      <c r="S74" s="5" t="s">
        <v>1098</v>
      </c>
      <c r="T74" s="5" t="s">
        <v>422</v>
      </c>
      <c r="U74" s="5" t="s">
        <v>423</v>
      </c>
      <c r="V74" s="5" t="s">
        <v>424</v>
      </c>
      <c r="W74" s="5" t="s">
        <v>44</v>
      </c>
      <c r="X74" s="5" t="s">
        <v>425</v>
      </c>
      <c r="Y74" s="5">
        <v>0</v>
      </c>
      <c r="Z74" s="5" t="s">
        <v>415</v>
      </c>
      <c r="AA74" s="6" t="s">
        <v>620</v>
      </c>
      <c r="AB74" s="5"/>
      <c r="AC74" s="5"/>
      <c r="AD74" s="5"/>
      <c r="AE74" s="5"/>
      <c r="AF74" s="5"/>
      <c r="AG74" s="7"/>
    </row>
    <row r="75" spans="1:33" x14ac:dyDescent="0.4">
      <c r="A75" s="4">
        <v>232</v>
      </c>
      <c r="B75" s="5" t="s">
        <v>400</v>
      </c>
      <c r="C75" s="5" t="s">
        <v>621</v>
      </c>
      <c r="D75" s="5" t="s">
        <v>622</v>
      </c>
      <c r="E75" s="5" t="s">
        <v>403</v>
      </c>
      <c r="F75" s="5" t="s">
        <v>623</v>
      </c>
      <c r="G75" s="5" t="s">
        <v>33</v>
      </c>
      <c r="H75" s="5" t="s">
        <v>405</v>
      </c>
      <c r="I75" s="5" t="s">
        <v>406</v>
      </c>
      <c r="J75" s="5" t="s">
        <v>407</v>
      </c>
      <c r="K75" s="5" t="s">
        <v>408</v>
      </c>
      <c r="L75" s="5" t="s">
        <v>33</v>
      </c>
      <c r="M75" s="5">
        <v>0.5</v>
      </c>
      <c r="N75" s="5">
        <v>79</v>
      </c>
      <c r="O75" s="5">
        <v>14</v>
      </c>
      <c r="P75" s="5" t="s">
        <v>39</v>
      </c>
      <c r="Q75" s="5" t="s">
        <v>40</v>
      </c>
      <c r="R75" s="5" t="s">
        <v>41</v>
      </c>
      <c r="S75" s="5" t="s">
        <v>430</v>
      </c>
      <c r="T75" s="5" t="s">
        <v>43</v>
      </c>
      <c r="U75" s="5" t="s">
        <v>44</v>
      </c>
      <c r="V75" s="5" t="s">
        <v>624</v>
      </c>
      <c r="W75" s="5" t="s">
        <v>44</v>
      </c>
      <c r="X75" s="5" t="s">
        <v>625</v>
      </c>
      <c r="Y75" s="5" t="s">
        <v>626</v>
      </c>
      <c r="Z75" s="5" t="s">
        <v>415</v>
      </c>
      <c r="AA75" s="6" t="s">
        <v>627</v>
      </c>
      <c r="AB75" s="5" t="s">
        <v>628</v>
      </c>
      <c r="AC75" s="5" t="s">
        <v>629</v>
      </c>
      <c r="AD75" s="5" t="s">
        <v>1108</v>
      </c>
      <c r="AE75" s="5"/>
      <c r="AF75" s="5"/>
      <c r="AG75" s="7" t="s">
        <v>1107</v>
      </c>
    </row>
    <row r="76" spans="1:33" x14ac:dyDescent="0.4">
      <c r="A76" s="4">
        <v>233</v>
      </c>
      <c r="B76" s="5" t="s">
        <v>400</v>
      </c>
      <c r="C76" s="5" t="s">
        <v>442</v>
      </c>
      <c r="D76" s="5" t="s">
        <v>630</v>
      </c>
      <c r="E76" s="5" t="s">
        <v>403</v>
      </c>
      <c r="F76" s="5" t="s">
        <v>631</v>
      </c>
      <c r="G76" s="5" t="s">
        <v>33</v>
      </c>
      <c r="H76" s="5" t="s">
        <v>445</v>
      </c>
      <c r="I76" s="5" t="s">
        <v>446</v>
      </c>
      <c r="J76" s="5" t="s">
        <v>447</v>
      </c>
      <c r="K76" s="5" t="s">
        <v>448</v>
      </c>
      <c r="L76" s="5" t="s">
        <v>33</v>
      </c>
      <c r="M76" s="5">
        <v>1</v>
      </c>
      <c r="N76" s="5">
        <v>177</v>
      </c>
      <c r="O76" s="5">
        <v>0</v>
      </c>
      <c r="P76" s="5" t="s">
        <v>1098</v>
      </c>
      <c r="Q76" s="5" t="s">
        <v>1098</v>
      </c>
      <c r="R76" s="5" t="s">
        <v>1098</v>
      </c>
      <c r="S76" s="5" t="s">
        <v>1098</v>
      </c>
      <c r="T76" s="5" t="s">
        <v>422</v>
      </c>
      <c r="U76" s="5" t="s">
        <v>423</v>
      </c>
      <c r="V76" s="5" t="s">
        <v>424</v>
      </c>
      <c r="W76" s="5" t="s">
        <v>44</v>
      </c>
      <c r="X76" s="5" t="s">
        <v>425</v>
      </c>
      <c r="Y76" s="5">
        <v>0</v>
      </c>
      <c r="Z76" s="5" t="s">
        <v>450</v>
      </c>
      <c r="AA76" s="6" t="s">
        <v>632</v>
      </c>
      <c r="AB76" s="5"/>
      <c r="AC76" s="5"/>
      <c r="AD76" s="5"/>
      <c r="AE76" s="5"/>
      <c r="AF76" s="5"/>
      <c r="AG76" s="7"/>
    </row>
    <row r="77" spans="1:33" x14ac:dyDescent="0.4">
      <c r="A77" s="4">
        <v>234</v>
      </c>
      <c r="B77" s="5" t="s">
        <v>400</v>
      </c>
      <c r="C77" s="5" t="s">
        <v>427</v>
      </c>
      <c r="D77" s="5" t="s">
        <v>633</v>
      </c>
      <c r="E77" s="5" t="s">
        <v>403</v>
      </c>
      <c r="F77" s="5" t="s">
        <v>601</v>
      </c>
      <c r="G77" s="5" t="s">
        <v>33</v>
      </c>
      <c r="H77" s="5" t="s">
        <v>405</v>
      </c>
      <c r="I77" s="5" t="s">
        <v>406</v>
      </c>
      <c r="J77" s="5" t="s">
        <v>407</v>
      </c>
      <c r="K77" s="5" t="s">
        <v>408</v>
      </c>
      <c r="L77" s="5" t="s">
        <v>33</v>
      </c>
      <c r="M77" s="5">
        <v>0.5</v>
      </c>
      <c r="N77" s="5">
        <v>104</v>
      </c>
      <c r="O77" s="5">
        <v>3</v>
      </c>
      <c r="P77" s="5" t="s">
        <v>39</v>
      </c>
      <c r="Q77" s="5" t="s">
        <v>249</v>
      </c>
      <c r="R77" s="5" t="s">
        <v>250</v>
      </c>
      <c r="S77" s="5" t="s">
        <v>115</v>
      </c>
      <c r="T77" s="5" t="s">
        <v>251</v>
      </c>
      <c r="U77" s="5" t="s">
        <v>634</v>
      </c>
      <c r="V77" s="5" t="s">
        <v>635</v>
      </c>
      <c r="W77" s="5" t="s">
        <v>636</v>
      </c>
      <c r="X77" s="5" t="s">
        <v>605</v>
      </c>
      <c r="Y77" s="5" t="s">
        <v>256</v>
      </c>
      <c r="Z77" s="5" t="s">
        <v>415</v>
      </c>
      <c r="AA77" s="6" t="s">
        <v>258</v>
      </c>
      <c r="AB77" s="5" t="s">
        <v>637</v>
      </c>
      <c r="AC77" s="5" t="s">
        <v>638</v>
      </c>
      <c r="AD77" s="5"/>
      <c r="AE77" s="5"/>
      <c r="AF77" s="5"/>
      <c r="AG77" s="7"/>
    </row>
    <row r="78" spans="1:33" x14ac:dyDescent="0.4">
      <c r="A78" s="4">
        <v>235</v>
      </c>
      <c r="B78" s="5" t="s">
        <v>400</v>
      </c>
      <c r="C78" s="5" t="s">
        <v>639</v>
      </c>
      <c r="D78" s="5" t="s">
        <v>640</v>
      </c>
      <c r="E78" s="5" t="s">
        <v>403</v>
      </c>
      <c r="F78" s="5" t="s">
        <v>641</v>
      </c>
      <c r="G78" s="5" t="s">
        <v>33</v>
      </c>
      <c r="H78" s="5" t="s">
        <v>405</v>
      </c>
      <c r="I78" s="5" t="s">
        <v>406</v>
      </c>
      <c r="J78" s="5" t="s">
        <v>407</v>
      </c>
      <c r="K78" s="5" t="s">
        <v>408</v>
      </c>
      <c r="L78" s="5" t="s">
        <v>33</v>
      </c>
      <c r="M78" s="5">
        <v>0.5</v>
      </c>
      <c r="N78" s="5">
        <v>178</v>
      </c>
      <c r="O78" s="5">
        <v>0</v>
      </c>
      <c r="P78" s="5" t="s">
        <v>1098</v>
      </c>
      <c r="Q78" s="5" t="s">
        <v>1098</v>
      </c>
      <c r="R78" s="5" t="s">
        <v>1098</v>
      </c>
      <c r="S78" s="5" t="s">
        <v>1098</v>
      </c>
      <c r="T78" s="5" t="s">
        <v>422</v>
      </c>
      <c r="U78" s="5" t="s">
        <v>423</v>
      </c>
      <c r="V78" s="5" t="s">
        <v>424</v>
      </c>
      <c r="W78" s="5" t="s">
        <v>44</v>
      </c>
      <c r="X78" s="5" t="s">
        <v>425</v>
      </c>
      <c r="Y78" s="5">
        <v>0</v>
      </c>
      <c r="Z78" s="5" t="s">
        <v>415</v>
      </c>
      <c r="AA78" s="6" t="s">
        <v>642</v>
      </c>
      <c r="AB78" s="5"/>
      <c r="AC78" s="5"/>
      <c r="AD78" s="5"/>
      <c r="AE78" s="5"/>
      <c r="AF78" s="5"/>
      <c r="AG78" s="7"/>
    </row>
    <row r="79" spans="1:33" x14ac:dyDescent="0.4">
      <c r="A79" s="4">
        <v>236</v>
      </c>
      <c r="B79" s="5" t="s">
        <v>400</v>
      </c>
      <c r="C79" s="5" t="s">
        <v>643</v>
      </c>
      <c r="D79" s="5" t="s">
        <v>644</v>
      </c>
      <c r="E79" s="5" t="s">
        <v>403</v>
      </c>
      <c r="F79" s="5" t="s">
        <v>645</v>
      </c>
      <c r="G79" s="5" t="s">
        <v>33</v>
      </c>
      <c r="H79" s="5" t="s">
        <v>405</v>
      </c>
      <c r="I79" s="5" t="s">
        <v>406</v>
      </c>
      <c r="J79" s="5" t="s">
        <v>407</v>
      </c>
      <c r="K79" s="5" t="s">
        <v>408</v>
      </c>
      <c r="L79" s="5" t="s">
        <v>33</v>
      </c>
      <c r="M79" s="5">
        <v>0.5</v>
      </c>
      <c r="N79" s="5">
        <v>71</v>
      </c>
      <c r="O79" s="5">
        <v>88</v>
      </c>
      <c r="P79" s="5" t="s">
        <v>39</v>
      </c>
      <c r="Q79" s="5" t="s">
        <v>40</v>
      </c>
      <c r="R79" s="5" t="s">
        <v>41</v>
      </c>
      <c r="S79" s="5" t="s">
        <v>430</v>
      </c>
      <c r="T79" s="5" t="s">
        <v>43</v>
      </c>
      <c r="U79" s="5" t="s">
        <v>423</v>
      </c>
      <c r="V79" s="5" t="s">
        <v>424</v>
      </c>
      <c r="W79" s="5" t="s">
        <v>44</v>
      </c>
      <c r="X79" s="5" t="s">
        <v>425</v>
      </c>
      <c r="Y79" s="5" t="s">
        <v>449</v>
      </c>
      <c r="Z79" s="5" t="s">
        <v>440</v>
      </c>
      <c r="AA79" s="6" t="s">
        <v>646</v>
      </c>
      <c r="AB79" s="5" t="s">
        <v>647</v>
      </c>
      <c r="AC79" s="5" t="s">
        <v>648</v>
      </c>
      <c r="AD79" s="5" t="s">
        <v>1108</v>
      </c>
      <c r="AE79" s="5"/>
      <c r="AF79" s="5"/>
      <c r="AG79" s="7" t="s">
        <v>1107</v>
      </c>
    </row>
    <row r="80" spans="1:33" x14ac:dyDescent="0.4">
      <c r="A80" s="4">
        <v>237</v>
      </c>
      <c r="B80" s="5" t="s">
        <v>400</v>
      </c>
      <c r="C80" s="5" t="s">
        <v>649</v>
      </c>
      <c r="D80" s="5" t="s">
        <v>650</v>
      </c>
      <c r="E80" s="5" t="s">
        <v>403</v>
      </c>
      <c r="F80" s="5" t="s">
        <v>651</v>
      </c>
      <c r="G80" s="5" t="s">
        <v>33</v>
      </c>
      <c r="H80" s="5" t="s">
        <v>405</v>
      </c>
      <c r="I80" s="5" t="s">
        <v>406</v>
      </c>
      <c r="J80" s="5" t="s">
        <v>407</v>
      </c>
      <c r="K80" s="5" t="s">
        <v>408</v>
      </c>
      <c r="L80" s="5" t="s">
        <v>33</v>
      </c>
      <c r="M80" s="5">
        <v>0.5</v>
      </c>
      <c r="N80" s="5">
        <v>115</v>
      </c>
      <c r="O80" s="5">
        <v>30</v>
      </c>
      <c r="P80" s="5" t="s">
        <v>39</v>
      </c>
      <c r="Q80" s="5" t="s">
        <v>249</v>
      </c>
      <c r="R80" s="5" t="s">
        <v>250</v>
      </c>
      <c r="S80" s="5" t="s">
        <v>115</v>
      </c>
      <c r="T80" s="5" t="s">
        <v>466</v>
      </c>
      <c r="U80" s="5" t="s">
        <v>652</v>
      </c>
      <c r="V80" s="5" t="s">
        <v>653</v>
      </c>
      <c r="W80" s="5" t="s">
        <v>654</v>
      </c>
      <c r="X80" s="5" t="s">
        <v>655</v>
      </c>
      <c r="Y80" s="5" t="s">
        <v>471</v>
      </c>
      <c r="Z80" s="5" t="s">
        <v>415</v>
      </c>
      <c r="AA80" s="6" t="s">
        <v>656</v>
      </c>
      <c r="AB80" s="5" t="s">
        <v>657</v>
      </c>
      <c r="AC80" s="5" t="s">
        <v>658</v>
      </c>
      <c r="AD80" s="5"/>
      <c r="AE80" s="5"/>
      <c r="AF80" s="5"/>
      <c r="AG80" s="7"/>
    </row>
    <row r="81" spans="1:33" x14ac:dyDescent="0.4">
      <c r="A81" s="4">
        <v>238</v>
      </c>
      <c r="B81" s="5" t="s">
        <v>400</v>
      </c>
      <c r="C81" s="5" t="s">
        <v>659</v>
      </c>
      <c r="D81" s="5" t="s">
        <v>660</v>
      </c>
      <c r="E81" s="5" t="s">
        <v>403</v>
      </c>
      <c r="F81" s="5"/>
      <c r="G81" s="5" t="s">
        <v>33</v>
      </c>
      <c r="H81" s="5" t="s">
        <v>405</v>
      </c>
      <c r="I81" s="5" t="s">
        <v>406</v>
      </c>
      <c r="J81" s="5" t="s">
        <v>407</v>
      </c>
      <c r="K81" s="5" t="s">
        <v>408</v>
      </c>
      <c r="L81" s="5" t="s">
        <v>33</v>
      </c>
      <c r="M81" s="5">
        <v>0.5</v>
      </c>
      <c r="N81" s="5">
        <v>179</v>
      </c>
      <c r="O81" s="5">
        <v>0</v>
      </c>
      <c r="P81" s="5" t="s">
        <v>1098</v>
      </c>
      <c r="Q81" s="5" t="s">
        <v>1098</v>
      </c>
      <c r="R81" s="5" t="s">
        <v>1098</v>
      </c>
      <c r="S81" s="5" t="s">
        <v>1098</v>
      </c>
      <c r="T81" s="5" t="s">
        <v>422</v>
      </c>
      <c r="U81" s="5" t="s">
        <v>423</v>
      </c>
      <c r="V81" s="5" t="s">
        <v>424</v>
      </c>
      <c r="W81" s="5" t="s">
        <v>44</v>
      </c>
      <c r="X81" s="5" t="s">
        <v>425</v>
      </c>
      <c r="Y81" s="5">
        <v>0</v>
      </c>
      <c r="Z81" s="5" t="s">
        <v>415</v>
      </c>
      <c r="AA81" s="6" t="s">
        <v>661</v>
      </c>
      <c r="AB81" s="5"/>
      <c r="AC81" s="5"/>
      <c r="AD81" s="5"/>
      <c r="AE81" s="5"/>
      <c r="AF81" s="5"/>
      <c r="AG81" s="7"/>
    </row>
    <row r="82" spans="1:33" x14ac:dyDescent="0.4">
      <c r="A82" s="4">
        <v>239</v>
      </c>
      <c r="B82" s="5" t="s">
        <v>400</v>
      </c>
      <c r="C82" s="5" t="s">
        <v>662</v>
      </c>
      <c r="D82" s="5" t="s">
        <v>663</v>
      </c>
      <c r="E82" s="5" t="s">
        <v>403</v>
      </c>
      <c r="F82" s="5" t="s">
        <v>664</v>
      </c>
      <c r="G82" s="5" t="s">
        <v>33</v>
      </c>
      <c r="H82" s="5" t="s">
        <v>405</v>
      </c>
      <c r="I82" s="5" t="s">
        <v>406</v>
      </c>
      <c r="J82" s="5" t="s">
        <v>407</v>
      </c>
      <c r="K82" s="5" t="s">
        <v>408</v>
      </c>
      <c r="L82" s="5" t="s">
        <v>33</v>
      </c>
      <c r="M82" s="5">
        <v>0.5</v>
      </c>
      <c r="N82" s="5">
        <v>98</v>
      </c>
      <c r="O82" s="5">
        <v>5158</v>
      </c>
      <c r="P82" s="5" t="s">
        <v>39</v>
      </c>
      <c r="Q82" s="5" t="s">
        <v>249</v>
      </c>
      <c r="R82" s="5" t="s">
        <v>250</v>
      </c>
      <c r="S82" s="5" t="s">
        <v>115</v>
      </c>
      <c r="T82" s="5" t="s">
        <v>409</v>
      </c>
      <c r="U82" s="5" t="s">
        <v>665</v>
      </c>
      <c r="V82" s="5" t="s">
        <v>666</v>
      </c>
      <c r="W82" s="5" t="s">
        <v>667</v>
      </c>
      <c r="X82" s="5" t="s">
        <v>668</v>
      </c>
      <c r="Y82" s="5" t="s">
        <v>414</v>
      </c>
      <c r="Z82" s="5" t="s">
        <v>415</v>
      </c>
      <c r="AA82" s="6" t="s">
        <v>669</v>
      </c>
      <c r="AB82" s="5" t="s">
        <v>670</v>
      </c>
      <c r="AC82" s="5" t="s">
        <v>671</v>
      </c>
      <c r="AD82" s="5"/>
      <c r="AE82" s="5"/>
      <c r="AF82" s="5"/>
      <c r="AG82" s="7"/>
    </row>
    <row r="83" spans="1:33" x14ac:dyDescent="0.4">
      <c r="A83" s="4">
        <v>240</v>
      </c>
      <c r="B83" s="5" t="s">
        <v>400</v>
      </c>
      <c r="C83" s="5" t="s">
        <v>662</v>
      </c>
      <c r="D83" s="5" t="s">
        <v>672</v>
      </c>
      <c r="E83" s="5" t="s">
        <v>403</v>
      </c>
      <c r="F83" s="5" t="s">
        <v>673</v>
      </c>
      <c r="G83" s="5" t="s">
        <v>33</v>
      </c>
      <c r="H83" s="5" t="s">
        <v>405</v>
      </c>
      <c r="I83" s="5" t="s">
        <v>406</v>
      </c>
      <c r="J83" s="5" t="s">
        <v>407</v>
      </c>
      <c r="K83" s="5" t="s">
        <v>408</v>
      </c>
      <c r="L83" s="5" t="s">
        <v>33</v>
      </c>
      <c r="M83" s="5">
        <v>0.5</v>
      </c>
      <c r="N83" s="5">
        <v>99</v>
      </c>
      <c r="O83" s="5">
        <v>62</v>
      </c>
      <c r="P83" s="5" t="s">
        <v>39</v>
      </c>
      <c r="Q83" s="5" t="s">
        <v>249</v>
      </c>
      <c r="R83" s="5" t="s">
        <v>250</v>
      </c>
      <c r="S83" s="5" t="s">
        <v>115</v>
      </c>
      <c r="T83" s="5" t="s">
        <v>409</v>
      </c>
      <c r="U83" s="5" t="s">
        <v>674</v>
      </c>
      <c r="V83" s="5" t="s">
        <v>666</v>
      </c>
      <c r="W83" s="5" t="s">
        <v>675</v>
      </c>
      <c r="X83" s="5" t="s">
        <v>668</v>
      </c>
      <c r="Y83" s="5" t="s">
        <v>414</v>
      </c>
      <c r="Z83" s="5" t="s">
        <v>415</v>
      </c>
      <c r="AA83" s="6" t="s">
        <v>676</v>
      </c>
      <c r="AB83" s="5" t="s">
        <v>677</v>
      </c>
      <c r="AC83" s="5" t="s">
        <v>678</v>
      </c>
      <c r="AD83" s="5"/>
      <c r="AE83" s="5"/>
      <c r="AF83" s="5"/>
      <c r="AG83" s="7"/>
    </row>
    <row r="84" spans="1:33" x14ac:dyDescent="0.4">
      <c r="A84" s="4">
        <v>241</v>
      </c>
      <c r="B84" s="5" t="s">
        <v>400</v>
      </c>
      <c r="C84" s="5" t="s">
        <v>679</v>
      </c>
      <c r="D84" s="5" t="s">
        <v>680</v>
      </c>
      <c r="E84" s="5" t="s">
        <v>403</v>
      </c>
      <c r="F84" s="5" t="s">
        <v>681</v>
      </c>
      <c r="G84" s="5" t="s">
        <v>33</v>
      </c>
      <c r="H84" s="5" t="s">
        <v>405</v>
      </c>
      <c r="I84" s="5" t="s">
        <v>406</v>
      </c>
      <c r="J84" s="5" t="s">
        <v>407</v>
      </c>
      <c r="K84" s="5" t="s">
        <v>408</v>
      </c>
      <c r="L84" s="5" t="s">
        <v>33</v>
      </c>
      <c r="M84" s="5">
        <v>0.5</v>
      </c>
      <c r="N84" s="5">
        <v>102</v>
      </c>
      <c r="O84" s="5">
        <v>3362</v>
      </c>
      <c r="P84" s="5" t="s">
        <v>39</v>
      </c>
      <c r="Q84" s="5" t="s">
        <v>249</v>
      </c>
      <c r="R84" s="5" t="s">
        <v>250</v>
      </c>
      <c r="S84" s="5" t="s">
        <v>115</v>
      </c>
      <c r="T84" s="5" t="s">
        <v>251</v>
      </c>
      <c r="U84" s="5" t="s">
        <v>682</v>
      </c>
      <c r="V84" s="5" t="s">
        <v>683</v>
      </c>
      <c r="W84" s="5" t="s">
        <v>684</v>
      </c>
      <c r="X84" s="5" t="s">
        <v>685</v>
      </c>
      <c r="Y84" s="5" t="s">
        <v>307</v>
      </c>
      <c r="Z84" s="5" t="s">
        <v>415</v>
      </c>
      <c r="AA84" s="6" t="s">
        <v>258</v>
      </c>
      <c r="AB84" s="5" t="s">
        <v>686</v>
      </c>
      <c r="AC84" s="5" t="s">
        <v>687</v>
      </c>
      <c r="AD84" s="5"/>
      <c r="AE84" s="5"/>
      <c r="AF84" s="5"/>
      <c r="AG84" s="7"/>
    </row>
    <row r="85" spans="1:33" x14ac:dyDescent="0.4">
      <c r="A85" s="4">
        <v>242</v>
      </c>
      <c r="B85" s="5" t="s">
        <v>400</v>
      </c>
      <c r="C85" s="5" t="s">
        <v>688</v>
      </c>
      <c r="D85" s="5" t="s">
        <v>689</v>
      </c>
      <c r="E85" s="5" t="s">
        <v>403</v>
      </c>
      <c r="F85" s="5" t="s">
        <v>690</v>
      </c>
      <c r="G85" s="5" t="s">
        <v>33</v>
      </c>
      <c r="H85" s="5" t="s">
        <v>561</v>
      </c>
      <c r="I85" s="5" t="s">
        <v>562</v>
      </c>
      <c r="J85" s="5" t="s">
        <v>563</v>
      </c>
      <c r="K85" s="5" t="s">
        <v>564</v>
      </c>
      <c r="L85" s="5" t="s">
        <v>33</v>
      </c>
      <c r="M85" s="5">
        <v>1.5</v>
      </c>
      <c r="N85" s="5">
        <v>89</v>
      </c>
      <c r="O85" s="5">
        <v>10</v>
      </c>
      <c r="P85" s="5" t="s">
        <v>39</v>
      </c>
      <c r="Q85" s="5" t="s">
        <v>249</v>
      </c>
      <c r="R85" s="5" t="s">
        <v>250</v>
      </c>
      <c r="S85" s="5" t="s">
        <v>42</v>
      </c>
      <c r="T85" s="5" t="s">
        <v>251</v>
      </c>
      <c r="U85" s="5" t="s">
        <v>691</v>
      </c>
      <c r="V85" s="5" t="s">
        <v>692</v>
      </c>
      <c r="W85" s="5" t="s">
        <v>693</v>
      </c>
      <c r="X85" s="5" t="s">
        <v>694</v>
      </c>
      <c r="Y85" s="5" t="s">
        <v>256</v>
      </c>
      <c r="Z85" s="5" t="s">
        <v>567</v>
      </c>
      <c r="AA85" s="6" t="s">
        <v>258</v>
      </c>
      <c r="AB85" s="5" t="s">
        <v>695</v>
      </c>
      <c r="AC85" s="5" t="s">
        <v>696</v>
      </c>
      <c r="AD85" s="5" t="s">
        <v>1108</v>
      </c>
      <c r="AE85" s="9" t="s">
        <v>1109</v>
      </c>
      <c r="AF85" s="5" t="s">
        <v>1115</v>
      </c>
      <c r="AG85" s="8" t="s">
        <v>1106</v>
      </c>
    </row>
    <row r="86" spans="1:33" x14ac:dyDescent="0.4">
      <c r="A86" s="4">
        <v>243</v>
      </c>
      <c r="B86" s="5" t="s">
        <v>400</v>
      </c>
      <c r="C86" s="5" t="s">
        <v>688</v>
      </c>
      <c r="D86" s="5" t="s">
        <v>697</v>
      </c>
      <c r="E86" s="5" t="s">
        <v>403</v>
      </c>
      <c r="F86" s="5" t="s">
        <v>698</v>
      </c>
      <c r="G86" s="5" t="s">
        <v>33</v>
      </c>
      <c r="H86" s="5" t="s">
        <v>405</v>
      </c>
      <c r="I86" s="5" t="s">
        <v>406</v>
      </c>
      <c r="J86" s="5" t="s">
        <v>407</v>
      </c>
      <c r="K86" s="5" t="s">
        <v>408</v>
      </c>
      <c r="L86" s="5" t="s">
        <v>33</v>
      </c>
      <c r="M86" s="5">
        <v>0.5</v>
      </c>
      <c r="N86" s="5">
        <v>67</v>
      </c>
      <c r="O86" s="5">
        <v>10</v>
      </c>
      <c r="P86" s="5" t="s">
        <v>39</v>
      </c>
      <c r="Q86" s="5" t="s">
        <v>40</v>
      </c>
      <c r="R86" s="5" t="s">
        <v>41</v>
      </c>
      <c r="S86" s="5" t="s">
        <v>430</v>
      </c>
      <c r="T86" s="5" t="s">
        <v>43</v>
      </c>
      <c r="U86" s="5" t="s">
        <v>423</v>
      </c>
      <c r="V86" s="5" t="s">
        <v>424</v>
      </c>
      <c r="W86" s="5" t="s">
        <v>44</v>
      </c>
      <c r="X86" s="5" t="s">
        <v>425</v>
      </c>
      <c r="Y86" s="5" t="s">
        <v>449</v>
      </c>
      <c r="Z86" s="5" t="s">
        <v>415</v>
      </c>
      <c r="AA86" s="6" t="s">
        <v>699</v>
      </c>
      <c r="AB86" s="5" t="s">
        <v>700</v>
      </c>
      <c r="AC86" s="5" t="s">
        <v>701</v>
      </c>
      <c r="AD86" s="5" t="s">
        <v>1108</v>
      </c>
      <c r="AE86" s="9" t="s">
        <v>1109</v>
      </c>
      <c r="AF86" s="5" t="s">
        <v>1116</v>
      </c>
      <c r="AG86" s="8" t="s">
        <v>1106</v>
      </c>
    </row>
    <row r="87" spans="1:33" x14ac:dyDescent="0.4">
      <c r="A87" s="4">
        <v>244</v>
      </c>
      <c r="B87" s="5" t="s">
        <v>400</v>
      </c>
      <c r="C87" s="5" t="s">
        <v>494</v>
      </c>
      <c r="D87" s="5" t="s">
        <v>702</v>
      </c>
      <c r="E87" s="5" t="s">
        <v>403</v>
      </c>
      <c r="F87" s="5" t="s">
        <v>703</v>
      </c>
      <c r="G87" s="5" t="s">
        <v>33</v>
      </c>
      <c r="H87" s="5" t="s">
        <v>445</v>
      </c>
      <c r="I87" s="5" t="s">
        <v>446</v>
      </c>
      <c r="J87" s="5" t="s">
        <v>447</v>
      </c>
      <c r="K87" s="5" t="s">
        <v>448</v>
      </c>
      <c r="L87" s="5" t="s">
        <v>33</v>
      </c>
      <c r="M87" s="5">
        <v>1</v>
      </c>
      <c r="N87" s="5">
        <v>38</v>
      </c>
      <c r="O87" s="5">
        <v>39</v>
      </c>
      <c r="P87" s="5" t="s">
        <v>39</v>
      </c>
      <c r="Q87" s="5" t="s">
        <v>40</v>
      </c>
      <c r="R87" s="5" t="s">
        <v>41</v>
      </c>
      <c r="S87" s="5" t="s">
        <v>430</v>
      </c>
      <c r="T87" s="5" t="s">
        <v>43</v>
      </c>
      <c r="U87" s="5" t="s">
        <v>704</v>
      </c>
      <c r="V87" s="5" t="s">
        <v>705</v>
      </c>
      <c r="W87" s="5" t="s">
        <v>706</v>
      </c>
      <c r="X87" s="5" t="s">
        <v>707</v>
      </c>
      <c r="Y87" s="5" t="s">
        <v>47</v>
      </c>
      <c r="Z87" s="5" t="s">
        <v>450</v>
      </c>
      <c r="AA87" s="6" t="s">
        <v>708</v>
      </c>
      <c r="AB87" s="5" t="s">
        <v>709</v>
      </c>
      <c r="AC87" s="5" t="s">
        <v>710</v>
      </c>
      <c r="AD87" s="5" t="s">
        <v>1108</v>
      </c>
      <c r="AE87" s="9" t="s">
        <v>1109</v>
      </c>
      <c r="AF87" s="9" t="s">
        <v>1117</v>
      </c>
      <c r="AG87" s="8" t="s">
        <v>1106</v>
      </c>
    </row>
    <row r="88" spans="1:33" x14ac:dyDescent="0.4">
      <c r="A88" s="4">
        <v>245</v>
      </c>
      <c r="B88" s="5" t="s">
        <v>400</v>
      </c>
      <c r="C88" s="5" t="s">
        <v>494</v>
      </c>
      <c r="D88" s="5" t="s">
        <v>711</v>
      </c>
      <c r="E88" s="5" t="s">
        <v>403</v>
      </c>
      <c r="F88" s="5" t="s">
        <v>712</v>
      </c>
      <c r="G88" s="5" t="s">
        <v>33</v>
      </c>
      <c r="H88" s="5" t="s">
        <v>445</v>
      </c>
      <c r="I88" s="5" t="s">
        <v>446</v>
      </c>
      <c r="J88" s="5" t="s">
        <v>447</v>
      </c>
      <c r="K88" s="5" t="s">
        <v>448</v>
      </c>
      <c r="L88" s="5" t="s">
        <v>33</v>
      </c>
      <c r="M88" s="5">
        <v>1</v>
      </c>
      <c r="N88" s="5">
        <v>51</v>
      </c>
      <c r="O88" s="5">
        <v>39</v>
      </c>
      <c r="P88" s="5" t="s">
        <v>39</v>
      </c>
      <c r="Q88" s="5" t="s">
        <v>40</v>
      </c>
      <c r="R88" s="5" t="s">
        <v>41</v>
      </c>
      <c r="S88" s="5" t="s">
        <v>430</v>
      </c>
      <c r="T88" s="5" t="s">
        <v>43</v>
      </c>
      <c r="U88" s="5" t="s">
        <v>704</v>
      </c>
      <c r="V88" s="5" t="s">
        <v>705</v>
      </c>
      <c r="W88" s="5" t="s">
        <v>706</v>
      </c>
      <c r="X88" s="5" t="s">
        <v>707</v>
      </c>
      <c r="Y88" s="5" t="s">
        <v>47</v>
      </c>
      <c r="Z88" s="5" t="s">
        <v>450</v>
      </c>
      <c r="AA88" s="6" t="s">
        <v>136</v>
      </c>
      <c r="AB88" s="5" t="s">
        <v>713</v>
      </c>
      <c r="AC88" s="5" t="s">
        <v>714</v>
      </c>
      <c r="AD88" s="5" t="s">
        <v>1108</v>
      </c>
      <c r="AE88" s="9" t="s">
        <v>1109</v>
      </c>
      <c r="AF88" s="9" t="s">
        <v>1117</v>
      </c>
      <c r="AG88" s="8" t="s">
        <v>1106</v>
      </c>
    </row>
    <row r="89" spans="1:33" x14ac:dyDescent="0.4">
      <c r="A89" s="4">
        <v>246</v>
      </c>
      <c r="B89" s="5" t="s">
        <v>400</v>
      </c>
      <c r="C89" s="5" t="s">
        <v>494</v>
      </c>
      <c r="D89" s="5" t="s">
        <v>715</v>
      </c>
      <c r="E89" s="5" t="s">
        <v>403</v>
      </c>
      <c r="F89" s="5" t="s">
        <v>716</v>
      </c>
      <c r="G89" s="5" t="s">
        <v>33</v>
      </c>
      <c r="H89" s="5" t="s">
        <v>445</v>
      </c>
      <c r="I89" s="5" t="s">
        <v>446</v>
      </c>
      <c r="J89" s="5" t="s">
        <v>447</v>
      </c>
      <c r="K89" s="5" t="s">
        <v>448</v>
      </c>
      <c r="L89" s="5" t="s">
        <v>33</v>
      </c>
      <c r="M89" s="5">
        <v>1</v>
      </c>
      <c r="N89" s="5">
        <v>52</v>
      </c>
      <c r="O89" s="5">
        <v>39</v>
      </c>
      <c r="P89" s="5" t="s">
        <v>39</v>
      </c>
      <c r="Q89" s="5" t="s">
        <v>40</v>
      </c>
      <c r="R89" s="5" t="s">
        <v>41</v>
      </c>
      <c r="S89" s="5" t="s">
        <v>430</v>
      </c>
      <c r="T89" s="5" t="s">
        <v>43</v>
      </c>
      <c r="U89" s="5" t="s">
        <v>704</v>
      </c>
      <c r="V89" s="5" t="s">
        <v>705</v>
      </c>
      <c r="W89" s="5" t="s">
        <v>706</v>
      </c>
      <c r="X89" s="5" t="s">
        <v>707</v>
      </c>
      <c r="Y89" s="5" t="s">
        <v>47</v>
      </c>
      <c r="Z89" s="5" t="s">
        <v>450</v>
      </c>
      <c r="AA89" s="6" t="s">
        <v>717</v>
      </c>
      <c r="AB89" s="5" t="s">
        <v>718</v>
      </c>
      <c r="AC89" s="5" t="s">
        <v>719</v>
      </c>
      <c r="AD89" s="5" t="s">
        <v>1108</v>
      </c>
      <c r="AE89" s="9" t="s">
        <v>1109</v>
      </c>
      <c r="AF89" s="9" t="s">
        <v>1117</v>
      </c>
      <c r="AG89" s="8" t="s">
        <v>1106</v>
      </c>
    </row>
    <row r="90" spans="1:33" x14ac:dyDescent="0.4">
      <c r="A90" s="4">
        <v>247</v>
      </c>
      <c r="B90" s="5" t="s">
        <v>400</v>
      </c>
      <c r="C90" s="5" t="s">
        <v>720</v>
      </c>
      <c r="D90" s="5" t="s">
        <v>721</v>
      </c>
      <c r="E90" s="5" t="s">
        <v>403</v>
      </c>
      <c r="F90" s="5" t="s">
        <v>722</v>
      </c>
      <c r="G90" s="5" t="s">
        <v>33</v>
      </c>
      <c r="H90" s="5" t="s">
        <v>405</v>
      </c>
      <c r="I90" s="5" t="s">
        <v>406</v>
      </c>
      <c r="J90" s="5" t="s">
        <v>407</v>
      </c>
      <c r="K90" s="5" t="s">
        <v>408</v>
      </c>
      <c r="L90" s="5" t="s">
        <v>33</v>
      </c>
      <c r="M90" s="5">
        <v>0.5</v>
      </c>
      <c r="N90" s="5">
        <v>40</v>
      </c>
      <c r="O90" s="5">
        <v>20</v>
      </c>
      <c r="P90" s="5" t="s">
        <v>39</v>
      </c>
      <c r="Q90" s="5" t="s">
        <v>40</v>
      </c>
      <c r="R90" s="5" t="s">
        <v>41</v>
      </c>
      <c r="S90" s="5" t="s">
        <v>430</v>
      </c>
      <c r="T90" s="5" t="s">
        <v>43</v>
      </c>
      <c r="U90" s="5" t="s">
        <v>423</v>
      </c>
      <c r="V90" s="5" t="s">
        <v>424</v>
      </c>
      <c r="W90" s="5" t="s">
        <v>44</v>
      </c>
      <c r="X90" s="5" t="s">
        <v>425</v>
      </c>
      <c r="Y90" s="5" t="s">
        <v>449</v>
      </c>
      <c r="Z90" s="5" t="s">
        <v>415</v>
      </c>
      <c r="AA90" s="6" t="s">
        <v>723</v>
      </c>
      <c r="AB90" s="5" t="s">
        <v>724</v>
      </c>
      <c r="AC90" s="5" t="s">
        <v>725</v>
      </c>
      <c r="AD90" s="5"/>
      <c r="AE90" s="5"/>
      <c r="AF90" s="5"/>
      <c r="AG90" s="7"/>
    </row>
    <row r="91" spans="1:33" x14ac:dyDescent="0.4">
      <c r="A91" s="4">
        <v>248</v>
      </c>
      <c r="B91" s="5" t="s">
        <v>400</v>
      </c>
      <c r="C91" s="5" t="s">
        <v>726</v>
      </c>
      <c r="D91" s="5" t="s">
        <v>727</v>
      </c>
      <c r="E91" s="5" t="s">
        <v>403</v>
      </c>
      <c r="F91" s="5" t="s">
        <v>728</v>
      </c>
      <c r="G91" s="5" t="s">
        <v>33</v>
      </c>
      <c r="H91" s="5" t="s">
        <v>729</v>
      </c>
      <c r="I91" s="5" t="s">
        <v>730</v>
      </c>
      <c r="J91" s="5" t="s">
        <v>447</v>
      </c>
      <c r="K91" s="5" t="s">
        <v>731</v>
      </c>
      <c r="L91" s="5" t="s">
        <v>33</v>
      </c>
      <c r="M91" s="5">
        <v>1</v>
      </c>
      <c r="N91" s="5">
        <v>44</v>
      </c>
      <c r="O91" s="5">
        <v>18</v>
      </c>
      <c r="P91" s="5" t="s">
        <v>39</v>
      </c>
      <c r="Q91" s="5" t="s">
        <v>40</v>
      </c>
      <c r="R91" s="5" t="s">
        <v>41</v>
      </c>
      <c r="S91" s="5" t="s">
        <v>430</v>
      </c>
      <c r="T91" s="5" t="s">
        <v>43</v>
      </c>
      <c r="U91" s="5" t="s">
        <v>44</v>
      </c>
      <c r="V91" s="5" t="s">
        <v>732</v>
      </c>
      <c r="W91" s="5" t="s">
        <v>44</v>
      </c>
      <c r="X91" s="5" t="s">
        <v>732</v>
      </c>
      <c r="Y91" s="5" t="s">
        <v>62</v>
      </c>
      <c r="Z91" s="5" t="s">
        <v>733</v>
      </c>
      <c r="AA91" s="6" t="s">
        <v>734</v>
      </c>
      <c r="AB91" s="5" t="s">
        <v>735</v>
      </c>
      <c r="AC91" s="5" t="s">
        <v>736</v>
      </c>
      <c r="AD91" s="5" t="s">
        <v>1104</v>
      </c>
      <c r="AE91" s="5"/>
      <c r="AF91" s="5"/>
      <c r="AG91" s="7" t="s">
        <v>1107</v>
      </c>
    </row>
    <row r="92" spans="1:33" x14ac:dyDescent="0.4">
      <c r="A92" s="4">
        <v>249</v>
      </c>
      <c r="B92" s="5" t="s">
        <v>400</v>
      </c>
      <c r="C92" s="5" t="s">
        <v>726</v>
      </c>
      <c r="D92" s="5" t="s">
        <v>737</v>
      </c>
      <c r="E92" s="5" t="s">
        <v>403</v>
      </c>
      <c r="F92" s="5" t="s">
        <v>738</v>
      </c>
      <c r="G92" s="5" t="s">
        <v>33</v>
      </c>
      <c r="H92" s="5" t="s">
        <v>729</v>
      </c>
      <c r="I92" s="5" t="s">
        <v>730</v>
      </c>
      <c r="J92" s="5" t="s">
        <v>447</v>
      </c>
      <c r="K92" s="5" t="s">
        <v>731</v>
      </c>
      <c r="L92" s="5" t="s">
        <v>33</v>
      </c>
      <c r="M92" s="5">
        <v>1</v>
      </c>
      <c r="N92" s="5">
        <v>45</v>
      </c>
      <c r="O92" s="5">
        <v>16</v>
      </c>
      <c r="P92" s="5" t="s">
        <v>39</v>
      </c>
      <c r="Q92" s="5" t="s">
        <v>40</v>
      </c>
      <c r="R92" s="5" t="s">
        <v>41</v>
      </c>
      <c r="S92" s="5" t="s">
        <v>430</v>
      </c>
      <c r="T92" s="5" t="s">
        <v>43</v>
      </c>
      <c r="U92" s="5" t="s">
        <v>44</v>
      </c>
      <c r="V92" s="5" t="s">
        <v>732</v>
      </c>
      <c r="W92" s="5" t="s">
        <v>44</v>
      </c>
      <c r="X92" s="5" t="s">
        <v>732</v>
      </c>
      <c r="Y92" s="5" t="s">
        <v>62</v>
      </c>
      <c r="Z92" s="5" t="s">
        <v>733</v>
      </c>
      <c r="AA92" s="6" t="s">
        <v>734</v>
      </c>
      <c r="AB92" s="5" t="s">
        <v>739</v>
      </c>
      <c r="AC92" s="5" t="s">
        <v>740</v>
      </c>
      <c r="AD92" s="5" t="s">
        <v>1104</v>
      </c>
      <c r="AE92" s="5"/>
      <c r="AF92" s="5"/>
      <c r="AG92" s="7" t="s">
        <v>1107</v>
      </c>
    </row>
    <row r="93" spans="1:33" x14ac:dyDescent="0.4">
      <c r="A93" s="4">
        <v>250</v>
      </c>
      <c r="B93" s="5" t="s">
        <v>400</v>
      </c>
      <c r="C93" s="5" t="s">
        <v>726</v>
      </c>
      <c r="D93" s="5" t="s">
        <v>741</v>
      </c>
      <c r="E93" s="5" t="s">
        <v>403</v>
      </c>
      <c r="F93" s="5" t="s">
        <v>742</v>
      </c>
      <c r="G93" s="5" t="s">
        <v>33</v>
      </c>
      <c r="H93" s="5" t="s">
        <v>729</v>
      </c>
      <c r="I93" s="5" t="s">
        <v>730</v>
      </c>
      <c r="J93" s="5" t="s">
        <v>447</v>
      </c>
      <c r="K93" s="5" t="s">
        <v>731</v>
      </c>
      <c r="L93" s="5" t="s">
        <v>33</v>
      </c>
      <c r="M93" s="5">
        <v>1</v>
      </c>
      <c r="N93" s="5">
        <v>46</v>
      </c>
      <c r="O93" s="5">
        <v>43</v>
      </c>
      <c r="P93" s="5" t="s">
        <v>39</v>
      </c>
      <c r="Q93" s="5" t="s">
        <v>40</v>
      </c>
      <c r="R93" s="5" t="s">
        <v>41</v>
      </c>
      <c r="S93" s="5" t="s">
        <v>430</v>
      </c>
      <c r="T93" s="5" t="s">
        <v>43</v>
      </c>
      <c r="U93" s="5" t="s">
        <v>44</v>
      </c>
      <c r="V93" s="5" t="s">
        <v>732</v>
      </c>
      <c r="W93" s="5" t="s">
        <v>44</v>
      </c>
      <c r="X93" s="5" t="s">
        <v>732</v>
      </c>
      <c r="Y93" s="5" t="s">
        <v>62</v>
      </c>
      <c r="Z93" s="5" t="s">
        <v>733</v>
      </c>
      <c r="AA93" s="6" t="s">
        <v>734</v>
      </c>
      <c r="AB93" s="5" t="s">
        <v>743</v>
      </c>
      <c r="AC93" s="5" t="s">
        <v>744</v>
      </c>
      <c r="AD93" s="5" t="s">
        <v>1104</v>
      </c>
      <c r="AE93" s="5"/>
      <c r="AF93" s="5"/>
      <c r="AG93" s="7" t="s">
        <v>1107</v>
      </c>
    </row>
    <row r="94" spans="1:33" x14ac:dyDescent="0.4">
      <c r="A94" s="4">
        <v>251</v>
      </c>
      <c r="B94" s="5" t="s">
        <v>400</v>
      </c>
      <c r="C94" s="5" t="s">
        <v>726</v>
      </c>
      <c r="D94" s="5" t="s">
        <v>745</v>
      </c>
      <c r="E94" s="5" t="s">
        <v>403</v>
      </c>
      <c r="F94" s="5" t="s">
        <v>742</v>
      </c>
      <c r="G94" s="5" t="s">
        <v>33</v>
      </c>
      <c r="H94" s="5" t="s">
        <v>729</v>
      </c>
      <c r="I94" s="5" t="s">
        <v>730</v>
      </c>
      <c r="J94" s="5" t="s">
        <v>447</v>
      </c>
      <c r="K94" s="5" t="s">
        <v>731</v>
      </c>
      <c r="L94" s="5" t="s">
        <v>33</v>
      </c>
      <c r="M94" s="5">
        <v>1</v>
      </c>
      <c r="N94" s="5">
        <v>47</v>
      </c>
      <c r="O94" s="5">
        <v>43</v>
      </c>
      <c r="P94" s="5" t="s">
        <v>39</v>
      </c>
      <c r="Q94" s="5" t="s">
        <v>40</v>
      </c>
      <c r="R94" s="5" t="s">
        <v>41</v>
      </c>
      <c r="S94" s="5" t="s">
        <v>430</v>
      </c>
      <c r="T94" s="5" t="s">
        <v>43</v>
      </c>
      <c r="U94" s="5" t="s">
        <v>44</v>
      </c>
      <c r="V94" s="5" t="s">
        <v>732</v>
      </c>
      <c r="W94" s="5" t="s">
        <v>44</v>
      </c>
      <c r="X94" s="5" t="s">
        <v>732</v>
      </c>
      <c r="Y94" s="5" t="s">
        <v>62</v>
      </c>
      <c r="Z94" s="5" t="s">
        <v>733</v>
      </c>
      <c r="AA94" s="6" t="s">
        <v>734</v>
      </c>
      <c r="AB94" s="5" t="s">
        <v>746</v>
      </c>
      <c r="AC94" s="5" t="s">
        <v>747</v>
      </c>
      <c r="AD94" s="5" t="s">
        <v>1104</v>
      </c>
      <c r="AE94" s="5"/>
      <c r="AF94" s="5"/>
      <c r="AG94" s="7" t="s">
        <v>1107</v>
      </c>
    </row>
    <row r="95" spans="1:33" x14ac:dyDescent="0.4">
      <c r="A95" s="4">
        <v>252</v>
      </c>
      <c r="B95" s="5" t="s">
        <v>400</v>
      </c>
      <c r="C95" s="5" t="s">
        <v>748</v>
      </c>
      <c r="D95" s="5" t="s">
        <v>749</v>
      </c>
      <c r="E95" s="5" t="s">
        <v>403</v>
      </c>
      <c r="F95" s="5" t="s">
        <v>750</v>
      </c>
      <c r="G95" s="5" t="s">
        <v>33</v>
      </c>
      <c r="H95" s="5" t="s">
        <v>405</v>
      </c>
      <c r="I95" s="5" t="s">
        <v>406</v>
      </c>
      <c r="J95" s="5" t="s">
        <v>407</v>
      </c>
      <c r="K95" s="5" t="s">
        <v>408</v>
      </c>
      <c r="L95" s="5" t="s">
        <v>33</v>
      </c>
      <c r="M95" s="5">
        <v>0.5</v>
      </c>
      <c r="N95" s="5">
        <v>180</v>
      </c>
      <c r="O95" s="5">
        <v>0</v>
      </c>
      <c r="P95" s="5" t="s">
        <v>1098</v>
      </c>
      <c r="Q95" s="5" t="s">
        <v>1098</v>
      </c>
      <c r="R95" s="5" t="s">
        <v>1098</v>
      </c>
      <c r="S95" s="5" t="s">
        <v>1098</v>
      </c>
      <c r="T95" s="5" t="s">
        <v>422</v>
      </c>
      <c r="U95" s="5" t="s">
        <v>423</v>
      </c>
      <c r="V95" s="5" t="s">
        <v>424</v>
      </c>
      <c r="W95" s="5" t="s">
        <v>44</v>
      </c>
      <c r="X95" s="5" t="s">
        <v>425</v>
      </c>
      <c r="Y95" s="5">
        <v>0</v>
      </c>
      <c r="Z95" s="5" t="s">
        <v>415</v>
      </c>
      <c r="AA95" s="6" t="s">
        <v>751</v>
      </c>
      <c r="AB95" s="5"/>
      <c r="AC95" s="5"/>
      <c r="AD95" s="5"/>
      <c r="AE95" s="5"/>
      <c r="AF95" s="5"/>
      <c r="AG95" s="7"/>
    </row>
    <row r="96" spans="1:33" x14ac:dyDescent="0.4">
      <c r="A96" s="4">
        <v>253</v>
      </c>
      <c r="B96" s="5" t="s">
        <v>400</v>
      </c>
      <c r="C96" s="5" t="s">
        <v>752</v>
      </c>
      <c r="D96" s="5" t="s">
        <v>753</v>
      </c>
      <c r="E96" s="5" t="s">
        <v>403</v>
      </c>
      <c r="F96" s="5" t="s">
        <v>754</v>
      </c>
      <c r="G96" s="5" t="s">
        <v>33</v>
      </c>
      <c r="H96" s="5" t="s">
        <v>405</v>
      </c>
      <c r="I96" s="5" t="s">
        <v>406</v>
      </c>
      <c r="J96" s="5" t="s">
        <v>407</v>
      </c>
      <c r="K96" s="5" t="s">
        <v>408</v>
      </c>
      <c r="L96" s="5" t="s">
        <v>33</v>
      </c>
      <c r="M96" s="5">
        <v>0.5</v>
      </c>
      <c r="N96" s="5">
        <v>101</v>
      </c>
      <c r="O96" s="5">
        <v>8</v>
      </c>
      <c r="P96" s="5" t="s">
        <v>39</v>
      </c>
      <c r="Q96" s="5" t="s">
        <v>249</v>
      </c>
      <c r="R96" s="5" t="s">
        <v>250</v>
      </c>
      <c r="S96" s="5" t="s">
        <v>115</v>
      </c>
      <c r="T96" s="5" t="s">
        <v>251</v>
      </c>
      <c r="U96" s="5" t="s">
        <v>755</v>
      </c>
      <c r="V96" s="5" t="s">
        <v>756</v>
      </c>
      <c r="W96" s="5" t="s">
        <v>757</v>
      </c>
      <c r="X96" s="5" t="s">
        <v>758</v>
      </c>
      <c r="Y96" s="5" t="s">
        <v>256</v>
      </c>
      <c r="Z96" s="5" t="s">
        <v>415</v>
      </c>
      <c r="AA96" s="6" t="s">
        <v>258</v>
      </c>
      <c r="AB96" s="5" t="s">
        <v>759</v>
      </c>
      <c r="AC96" s="5" t="s">
        <v>760</v>
      </c>
      <c r="AD96" s="5"/>
      <c r="AE96" s="5"/>
      <c r="AF96" s="5"/>
      <c r="AG96" s="7"/>
    </row>
    <row r="97" spans="1:33" x14ac:dyDescent="0.4">
      <c r="A97" s="4">
        <v>254</v>
      </c>
      <c r="B97" s="5" t="s">
        <v>400</v>
      </c>
      <c r="C97" s="5" t="s">
        <v>608</v>
      </c>
      <c r="D97" s="5" t="s">
        <v>761</v>
      </c>
      <c r="E97" s="5" t="s">
        <v>403</v>
      </c>
      <c r="F97" s="5" t="s">
        <v>762</v>
      </c>
      <c r="G97" s="5" t="s">
        <v>33</v>
      </c>
      <c r="H97" s="5" t="s">
        <v>405</v>
      </c>
      <c r="I97" s="5" t="s">
        <v>406</v>
      </c>
      <c r="J97" s="5" t="s">
        <v>407</v>
      </c>
      <c r="K97" s="5" t="s">
        <v>408</v>
      </c>
      <c r="L97" s="5" t="s">
        <v>33</v>
      </c>
      <c r="M97" s="5">
        <v>0.5</v>
      </c>
      <c r="N97" s="5">
        <v>41</v>
      </c>
      <c r="O97" s="5">
        <v>1</v>
      </c>
      <c r="P97" s="5" t="s">
        <v>39</v>
      </c>
      <c r="Q97" s="5" t="s">
        <v>40</v>
      </c>
      <c r="R97" s="5" t="s">
        <v>41</v>
      </c>
      <c r="S97" s="5" t="s">
        <v>430</v>
      </c>
      <c r="T97" s="5" t="s">
        <v>43</v>
      </c>
      <c r="U97" s="5" t="s">
        <v>423</v>
      </c>
      <c r="V97" s="5" t="s">
        <v>424</v>
      </c>
      <c r="W97" s="5" t="s">
        <v>44</v>
      </c>
      <c r="X97" s="5" t="s">
        <v>425</v>
      </c>
      <c r="Y97" s="5" t="s">
        <v>449</v>
      </c>
      <c r="Z97" s="5" t="s">
        <v>415</v>
      </c>
      <c r="AA97" s="6" t="s">
        <v>763</v>
      </c>
      <c r="AB97" s="5" t="s">
        <v>764</v>
      </c>
      <c r="AC97" s="5" t="s">
        <v>765</v>
      </c>
      <c r="AD97" s="5"/>
      <c r="AE97" s="5"/>
      <c r="AF97" s="5"/>
      <c r="AG97" s="7"/>
    </row>
    <row r="98" spans="1:33" x14ac:dyDescent="0.4">
      <c r="A98" s="4">
        <v>255</v>
      </c>
      <c r="B98" s="5" t="s">
        <v>400</v>
      </c>
      <c r="C98" s="5" t="s">
        <v>766</v>
      </c>
      <c r="D98" s="5" t="s">
        <v>767</v>
      </c>
      <c r="E98" s="5" t="s">
        <v>403</v>
      </c>
      <c r="F98" s="5" t="s">
        <v>768</v>
      </c>
      <c r="G98" s="5" t="s">
        <v>33</v>
      </c>
      <c r="H98" s="5" t="s">
        <v>405</v>
      </c>
      <c r="I98" s="5" t="s">
        <v>406</v>
      </c>
      <c r="J98" s="5" t="s">
        <v>407</v>
      </c>
      <c r="K98" s="5" t="s">
        <v>408</v>
      </c>
      <c r="L98" s="5" t="s">
        <v>33</v>
      </c>
      <c r="M98" s="5">
        <v>0.5</v>
      </c>
      <c r="N98" s="5">
        <v>181</v>
      </c>
      <c r="O98" s="5">
        <v>0</v>
      </c>
      <c r="P98" s="5" t="s">
        <v>1098</v>
      </c>
      <c r="Q98" s="5" t="s">
        <v>1098</v>
      </c>
      <c r="R98" s="5" t="s">
        <v>1098</v>
      </c>
      <c r="S98" s="5" t="s">
        <v>1098</v>
      </c>
      <c r="T98" s="5" t="s">
        <v>422</v>
      </c>
      <c r="U98" s="5" t="s">
        <v>423</v>
      </c>
      <c r="V98" s="5" t="s">
        <v>424</v>
      </c>
      <c r="W98" s="5" t="s">
        <v>44</v>
      </c>
      <c r="X98" s="5" t="s">
        <v>425</v>
      </c>
      <c r="Y98" s="5">
        <v>0</v>
      </c>
      <c r="Z98" s="5" t="s">
        <v>415</v>
      </c>
      <c r="AA98" s="6" t="s">
        <v>769</v>
      </c>
      <c r="AB98" s="5"/>
      <c r="AC98" s="5"/>
      <c r="AD98" s="5"/>
      <c r="AE98" s="5"/>
      <c r="AF98" s="5"/>
      <c r="AG98" s="7"/>
    </row>
    <row r="99" spans="1:33" x14ac:dyDescent="0.4">
      <c r="A99" s="4">
        <v>256</v>
      </c>
      <c r="B99" s="5" t="s">
        <v>400</v>
      </c>
      <c r="C99" s="5" t="s">
        <v>770</v>
      </c>
      <c r="D99" s="5" t="s">
        <v>771</v>
      </c>
      <c r="E99" s="5" t="s">
        <v>403</v>
      </c>
      <c r="F99" s="5" t="s">
        <v>772</v>
      </c>
      <c r="G99" s="5" t="s">
        <v>33</v>
      </c>
      <c r="H99" s="5" t="s">
        <v>405</v>
      </c>
      <c r="I99" s="5" t="s">
        <v>406</v>
      </c>
      <c r="J99" s="5" t="s">
        <v>407</v>
      </c>
      <c r="K99" s="5" t="s">
        <v>408</v>
      </c>
      <c r="L99" s="5" t="s">
        <v>33</v>
      </c>
      <c r="M99" s="5">
        <v>0.5</v>
      </c>
      <c r="N99" s="5">
        <v>182</v>
      </c>
      <c r="O99" s="5">
        <v>0</v>
      </c>
      <c r="P99" s="5" t="s">
        <v>1098</v>
      </c>
      <c r="Q99" s="5" t="s">
        <v>1098</v>
      </c>
      <c r="R99" s="5" t="s">
        <v>1098</v>
      </c>
      <c r="S99" s="5" t="s">
        <v>1098</v>
      </c>
      <c r="T99" s="5" t="s">
        <v>422</v>
      </c>
      <c r="U99" s="5" t="s">
        <v>423</v>
      </c>
      <c r="V99" s="5" t="s">
        <v>424</v>
      </c>
      <c r="W99" s="5" t="s">
        <v>44</v>
      </c>
      <c r="X99" s="5" t="s">
        <v>425</v>
      </c>
      <c r="Y99" s="5">
        <v>0</v>
      </c>
      <c r="Z99" s="5" t="s">
        <v>415</v>
      </c>
      <c r="AA99" s="6" t="s">
        <v>773</v>
      </c>
      <c r="AB99" s="5"/>
      <c r="AC99" s="5"/>
      <c r="AD99" s="5"/>
      <c r="AE99" s="5"/>
      <c r="AF99" s="5"/>
      <c r="AG99" s="7"/>
    </row>
    <row r="100" spans="1:33" x14ac:dyDescent="0.4">
      <c r="A100" s="4">
        <v>257</v>
      </c>
      <c r="B100" s="5" t="s">
        <v>400</v>
      </c>
      <c r="C100" s="5" t="s">
        <v>510</v>
      </c>
      <c r="D100" s="5" t="s">
        <v>774</v>
      </c>
      <c r="E100" s="5" t="s">
        <v>403</v>
      </c>
      <c r="F100" s="5" t="s">
        <v>775</v>
      </c>
      <c r="G100" s="5" t="s">
        <v>33</v>
      </c>
      <c r="H100" s="5" t="s">
        <v>405</v>
      </c>
      <c r="I100" s="5" t="s">
        <v>406</v>
      </c>
      <c r="J100" s="5" t="s">
        <v>407</v>
      </c>
      <c r="K100" s="5" t="s">
        <v>408</v>
      </c>
      <c r="L100" s="5" t="s">
        <v>33</v>
      </c>
      <c r="M100" s="5">
        <v>0.5</v>
      </c>
      <c r="N100" s="5">
        <v>105</v>
      </c>
      <c r="O100" s="5">
        <v>14</v>
      </c>
      <c r="P100" s="5" t="s">
        <v>39</v>
      </c>
      <c r="Q100" s="5" t="s">
        <v>249</v>
      </c>
      <c r="R100" s="5" t="s">
        <v>250</v>
      </c>
      <c r="S100" s="5" t="s">
        <v>115</v>
      </c>
      <c r="T100" s="5" t="s">
        <v>466</v>
      </c>
      <c r="U100" s="5" t="s">
        <v>776</v>
      </c>
      <c r="V100" s="5" t="s">
        <v>777</v>
      </c>
      <c r="W100" s="5" t="s">
        <v>778</v>
      </c>
      <c r="X100" s="5" t="s">
        <v>779</v>
      </c>
      <c r="Y100" s="5" t="s">
        <v>471</v>
      </c>
      <c r="Z100" s="5" t="s">
        <v>415</v>
      </c>
      <c r="AA100" s="6" t="s">
        <v>780</v>
      </c>
      <c r="AB100" s="5" t="s">
        <v>781</v>
      </c>
      <c r="AC100" s="5" t="s">
        <v>782</v>
      </c>
      <c r="AD100" s="5" t="s">
        <v>1104</v>
      </c>
      <c r="AE100" s="5"/>
      <c r="AF100" s="5"/>
      <c r="AG100" s="7" t="s">
        <v>1107</v>
      </c>
    </row>
    <row r="101" spans="1:33" x14ac:dyDescent="0.4">
      <c r="A101" s="4">
        <v>258</v>
      </c>
      <c r="B101" s="5" t="s">
        <v>400</v>
      </c>
      <c r="C101" s="5" t="s">
        <v>442</v>
      </c>
      <c r="D101" s="5" t="s">
        <v>783</v>
      </c>
      <c r="E101" s="5" t="s">
        <v>403</v>
      </c>
      <c r="F101" s="5" t="s">
        <v>784</v>
      </c>
      <c r="G101" s="5" t="s">
        <v>33</v>
      </c>
      <c r="H101" s="5" t="s">
        <v>445</v>
      </c>
      <c r="I101" s="5" t="s">
        <v>446</v>
      </c>
      <c r="J101" s="5" t="s">
        <v>447</v>
      </c>
      <c r="K101" s="5" t="s">
        <v>448</v>
      </c>
      <c r="L101" s="5" t="s">
        <v>33</v>
      </c>
      <c r="M101" s="5">
        <v>1</v>
      </c>
      <c r="N101" s="5">
        <v>183</v>
      </c>
      <c r="O101" s="5">
        <v>0</v>
      </c>
      <c r="P101" s="5" t="s">
        <v>1098</v>
      </c>
      <c r="Q101" s="5" t="s">
        <v>1098</v>
      </c>
      <c r="R101" s="5" t="s">
        <v>1098</v>
      </c>
      <c r="S101" s="5" t="s">
        <v>1098</v>
      </c>
      <c r="T101" s="5" t="s">
        <v>422</v>
      </c>
      <c r="U101" s="5" t="s">
        <v>423</v>
      </c>
      <c r="V101" s="5" t="s">
        <v>424</v>
      </c>
      <c r="W101" s="5" t="s">
        <v>44</v>
      </c>
      <c r="X101" s="5" t="s">
        <v>425</v>
      </c>
      <c r="Y101" s="5">
        <v>0</v>
      </c>
      <c r="Z101" s="5" t="s">
        <v>450</v>
      </c>
      <c r="AA101" s="6" t="s">
        <v>785</v>
      </c>
      <c r="AB101" s="5"/>
      <c r="AC101" s="5"/>
      <c r="AD101" s="5"/>
      <c r="AE101" s="5"/>
      <c r="AF101" s="5"/>
      <c r="AG101" s="7"/>
    </row>
    <row r="102" spans="1:33" x14ac:dyDescent="0.4">
      <c r="A102" s="4">
        <v>259</v>
      </c>
      <c r="B102" s="5" t="s">
        <v>400</v>
      </c>
      <c r="C102" s="5" t="s">
        <v>786</v>
      </c>
      <c r="D102" s="5" t="s">
        <v>787</v>
      </c>
      <c r="E102" s="5" t="s">
        <v>403</v>
      </c>
      <c r="F102" s="5" t="s">
        <v>788</v>
      </c>
      <c r="G102" s="5" t="s">
        <v>33</v>
      </c>
      <c r="H102" s="5" t="s">
        <v>405</v>
      </c>
      <c r="I102" s="5" t="s">
        <v>406</v>
      </c>
      <c r="J102" s="5" t="s">
        <v>407</v>
      </c>
      <c r="K102" s="5" t="s">
        <v>408</v>
      </c>
      <c r="L102" s="5" t="s">
        <v>33</v>
      </c>
      <c r="M102" s="5">
        <v>0.5</v>
      </c>
      <c r="N102" s="5">
        <v>107</v>
      </c>
      <c r="O102" s="5">
        <v>5</v>
      </c>
      <c r="P102" s="5" t="s">
        <v>39</v>
      </c>
      <c r="Q102" s="5" t="s">
        <v>249</v>
      </c>
      <c r="R102" s="5" t="s">
        <v>250</v>
      </c>
      <c r="S102" s="5" t="s">
        <v>115</v>
      </c>
      <c r="T102" s="5" t="s">
        <v>466</v>
      </c>
      <c r="U102" s="5" t="s">
        <v>789</v>
      </c>
      <c r="V102" s="5" t="s">
        <v>790</v>
      </c>
      <c r="W102" s="5" t="s">
        <v>791</v>
      </c>
      <c r="X102" s="5" t="s">
        <v>792</v>
      </c>
      <c r="Y102" s="5" t="s">
        <v>471</v>
      </c>
      <c r="Z102" s="5" t="s">
        <v>415</v>
      </c>
      <c r="AA102" s="6" t="s">
        <v>793</v>
      </c>
      <c r="AB102" s="5" t="s">
        <v>794</v>
      </c>
      <c r="AC102" s="5" t="s">
        <v>795</v>
      </c>
      <c r="AD102" s="5"/>
      <c r="AE102" s="5"/>
      <c r="AF102" s="5"/>
      <c r="AG102" s="7"/>
    </row>
    <row r="103" spans="1:33" x14ac:dyDescent="0.4">
      <c r="A103" s="4">
        <v>260</v>
      </c>
      <c r="B103" s="5" t="s">
        <v>400</v>
      </c>
      <c r="C103" s="5" t="s">
        <v>770</v>
      </c>
      <c r="D103" s="5" t="s">
        <v>796</v>
      </c>
      <c r="E103" s="5" t="s">
        <v>403</v>
      </c>
      <c r="F103" s="5" t="s">
        <v>797</v>
      </c>
      <c r="G103" s="5" t="s">
        <v>33</v>
      </c>
      <c r="H103" s="5" t="s">
        <v>405</v>
      </c>
      <c r="I103" s="5" t="s">
        <v>406</v>
      </c>
      <c r="J103" s="5" t="s">
        <v>407</v>
      </c>
      <c r="K103" s="5" t="s">
        <v>408</v>
      </c>
      <c r="L103" s="5" t="s">
        <v>33</v>
      </c>
      <c r="M103" s="5">
        <v>0.5</v>
      </c>
      <c r="N103" s="5">
        <v>69</v>
      </c>
      <c r="O103" s="5">
        <v>207</v>
      </c>
      <c r="P103" s="5" t="s">
        <v>39</v>
      </c>
      <c r="Q103" s="5" t="s">
        <v>40</v>
      </c>
      <c r="R103" s="5" t="s">
        <v>41</v>
      </c>
      <c r="S103" s="5" t="s">
        <v>430</v>
      </c>
      <c r="T103" s="5" t="s">
        <v>43</v>
      </c>
      <c r="U103" s="5" t="s">
        <v>423</v>
      </c>
      <c r="V103" s="5" t="s">
        <v>424</v>
      </c>
      <c r="W103" s="5" t="s">
        <v>44</v>
      </c>
      <c r="X103" s="5" t="s">
        <v>425</v>
      </c>
      <c r="Y103" s="5" t="s">
        <v>449</v>
      </c>
      <c r="Z103" s="5" t="s">
        <v>440</v>
      </c>
      <c r="AA103" s="6" t="s">
        <v>798</v>
      </c>
      <c r="AB103" s="5" t="s">
        <v>799</v>
      </c>
      <c r="AC103" s="5" t="s">
        <v>800</v>
      </c>
      <c r="AD103" s="5" t="s">
        <v>1108</v>
      </c>
      <c r="AE103" s="5"/>
      <c r="AF103" s="5"/>
      <c r="AG103" s="7" t="s">
        <v>1107</v>
      </c>
    </row>
    <row r="104" spans="1:33" x14ac:dyDescent="0.4">
      <c r="A104" s="4">
        <v>261</v>
      </c>
      <c r="B104" s="5" t="s">
        <v>400</v>
      </c>
      <c r="C104" s="5" t="s">
        <v>801</v>
      </c>
      <c r="D104" s="5" t="s">
        <v>802</v>
      </c>
      <c r="E104" s="5" t="s">
        <v>403</v>
      </c>
      <c r="F104" s="5" t="s">
        <v>803</v>
      </c>
      <c r="G104" s="5" t="s">
        <v>33</v>
      </c>
      <c r="H104" s="5" t="s">
        <v>405</v>
      </c>
      <c r="I104" s="5" t="s">
        <v>406</v>
      </c>
      <c r="J104" s="5" t="s">
        <v>407</v>
      </c>
      <c r="K104" s="5" t="s">
        <v>408</v>
      </c>
      <c r="L104" s="5" t="s">
        <v>33</v>
      </c>
      <c r="M104" s="5">
        <v>0.5</v>
      </c>
      <c r="N104" s="5">
        <v>75</v>
      </c>
      <c r="O104" s="5">
        <v>14</v>
      </c>
      <c r="P104" s="5" t="s">
        <v>39</v>
      </c>
      <c r="Q104" s="5" t="s">
        <v>40</v>
      </c>
      <c r="R104" s="5" t="s">
        <v>41</v>
      </c>
      <c r="S104" s="5" t="s">
        <v>430</v>
      </c>
      <c r="T104" s="5" t="s">
        <v>43</v>
      </c>
      <c r="U104" s="5" t="s">
        <v>423</v>
      </c>
      <c r="V104" s="5" t="s">
        <v>424</v>
      </c>
      <c r="W104" s="5" t="s">
        <v>44</v>
      </c>
      <c r="X104" s="5" t="s">
        <v>425</v>
      </c>
      <c r="Y104" s="5" t="s">
        <v>449</v>
      </c>
      <c r="Z104" s="5" t="s">
        <v>415</v>
      </c>
      <c r="AA104" s="6" t="s">
        <v>804</v>
      </c>
      <c r="AB104" s="5" t="s">
        <v>805</v>
      </c>
      <c r="AC104" s="5" t="s">
        <v>806</v>
      </c>
      <c r="AD104" s="5"/>
      <c r="AE104" s="5"/>
      <c r="AF104" s="5"/>
      <c r="AG104" s="7"/>
    </row>
    <row r="105" spans="1:33" x14ac:dyDescent="0.4">
      <c r="A105" s="4">
        <v>262</v>
      </c>
      <c r="B105" s="5" t="s">
        <v>400</v>
      </c>
      <c r="C105" s="5" t="s">
        <v>807</v>
      </c>
      <c r="D105" s="5" t="s">
        <v>808</v>
      </c>
      <c r="E105" s="5" t="s">
        <v>403</v>
      </c>
      <c r="F105" s="5" t="s">
        <v>809</v>
      </c>
      <c r="G105" s="5" t="s">
        <v>33</v>
      </c>
      <c r="H105" s="5" t="s">
        <v>405</v>
      </c>
      <c r="I105" s="5" t="s">
        <v>406</v>
      </c>
      <c r="J105" s="5" t="s">
        <v>407</v>
      </c>
      <c r="K105" s="5" t="s">
        <v>408</v>
      </c>
      <c r="L105" s="5" t="s">
        <v>33</v>
      </c>
      <c r="M105" s="5">
        <v>0.5</v>
      </c>
      <c r="N105" s="5">
        <v>100</v>
      </c>
      <c r="O105" s="5">
        <v>2541</v>
      </c>
      <c r="P105" s="5" t="s">
        <v>39</v>
      </c>
      <c r="Q105" s="5" t="s">
        <v>249</v>
      </c>
      <c r="R105" s="5" t="s">
        <v>250</v>
      </c>
      <c r="S105" s="5" t="s">
        <v>115</v>
      </c>
      <c r="T105" s="5" t="s">
        <v>251</v>
      </c>
      <c r="U105" s="5" t="s">
        <v>810</v>
      </c>
      <c r="V105" s="5" t="s">
        <v>811</v>
      </c>
      <c r="W105" s="5" t="s">
        <v>812</v>
      </c>
      <c r="X105" s="5" t="s">
        <v>813</v>
      </c>
      <c r="Y105" s="5" t="s">
        <v>307</v>
      </c>
      <c r="Z105" s="5" t="s">
        <v>415</v>
      </c>
      <c r="AA105" s="6" t="s">
        <v>258</v>
      </c>
      <c r="AB105" s="5" t="s">
        <v>814</v>
      </c>
      <c r="AC105" s="5" t="s">
        <v>815</v>
      </c>
      <c r="AD105" s="5"/>
      <c r="AE105" s="5"/>
      <c r="AF105" s="5"/>
      <c r="AG105" s="7"/>
    </row>
    <row r="106" spans="1:33" x14ac:dyDescent="0.4">
      <c r="A106" s="4">
        <v>263</v>
      </c>
      <c r="B106" s="5" t="s">
        <v>400</v>
      </c>
      <c r="C106" s="5" t="s">
        <v>816</v>
      </c>
      <c r="D106" s="5" t="s">
        <v>817</v>
      </c>
      <c r="E106" s="5" t="s">
        <v>403</v>
      </c>
      <c r="F106" s="5" t="s">
        <v>818</v>
      </c>
      <c r="G106" s="5" t="s">
        <v>33</v>
      </c>
      <c r="H106" s="5" t="s">
        <v>405</v>
      </c>
      <c r="I106" s="5" t="s">
        <v>406</v>
      </c>
      <c r="J106" s="5" t="s">
        <v>407</v>
      </c>
      <c r="K106" s="5" t="s">
        <v>408</v>
      </c>
      <c r="L106" s="5" t="s">
        <v>33</v>
      </c>
      <c r="M106" s="5">
        <v>0.5</v>
      </c>
      <c r="N106" s="5">
        <v>109</v>
      </c>
      <c r="O106" s="5">
        <v>28</v>
      </c>
      <c r="P106" s="5" t="s">
        <v>39</v>
      </c>
      <c r="Q106" s="5" t="s">
        <v>249</v>
      </c>
      <c r="R106" s="5" t="s">
        <v>250</v>
      </c>
      <c r="S106" s="5" t="s">
        <v>115</v>
      </c>
      <c r="T106" s="5" t="s">
        <v>466</v>
      </c>
      <c r="U106" s="5" t="s">
        <v>819</v>
      </c>
      <c r="V106" s="5" t="s">
        <v>820</v>
      </c>
      <c r="W106" s="5" t="s">
        <v>821</v>
      </c>
      <c r="X106" s="5" t="s">
        <v>822</v>
      </c>
      <c r="Y106" s="5" t="s">
        <v>471</v>
      </c>
      <c r="Z106" s="5" t="s">
        <v>415</v>
      </c>
      <c r="AA106" s="6" t="s">
        <v>823</v>
      </c>
      <c r="AB106" s="5" t="s">
        <v>824</v>
      </c>
      <c r="AC106" s="5" t="s">
        <v>825</v>
      </c>
      <c r="AD106" s="5"/>
      <c r="AE106" s="5"/>
      <c r="AF106" s="5"/>
      <c r="AG106" s="7"/>
    </row>
    <row r="107" spans="1:33" x14ac:dyDescent="0.4">
      <c r="A107" s="4">
        <v>264</v>
      </c>
      <c r="B107" s="5" t="s">
        <v>400</v>
      </c>
      <c r="C107" s="5" t="s">
        <v>481</v>
      </c>
      <c r="D107" s="5" t="s">
        <v>826</v>
      </c>
      <c r="E107" s="5" t="s">
        <v>403</v>
      </c>
      <c r="F107" s="5" t="s">
        <v>827</v>
      </c>
      <c r="G107" s="5" t="s">
        <v>33</v>
      </c>
      <c r="H107" s="5" t="s">
        <v>405</v>
      </c>
      <c r="I107" s="5" t="s">
        <v>406</v>
      </c>
      <c r="J107" s="5" t="s">
        <v>407</v>
      </c>
      <c r="K107" s="5" t="s">
        <v>408</v>
      </c>
      <c r="L107" s="5" t="s">
        <v>33</v>
      </c>
      <c r="M107" s="5">
        <v>0.5</v>
      </c>
      <c r="N107" s="5">
        <v>70</v>
      </c>
      <c r="O107" s="5">
        <v>1</v>
      </c>
      <c r="P107" s="5" t="s">
        <v>39</v>
      </c>
      <c r="Q107" s="5" t="s">
        <v>40</v>
      </c>
      <c r="R107" s="5" t="s">
        <v>41</v>
      </c>
      <c r="S107" s="5" t="s">
        <v>430</v>
      </c>
      <c r="T107" s="5" t="s">
        <v>43</v>
      </c>
      <c r="U107" s="5" t="s">
        <v>487</v>
      </c>
      <c r="V107" s="5" t="s">
        <v>488</v>
      </c>
      <c r="W107" s="5" t="s">
        <v>44</v>
      </c>
      <c r="X107" s="5" t="s">
        <v>489</v>
      </c>
      <c r="Y107" s="5" t="s">
        <v>47</v>
      </c>
      <c r="Z107" s="5" t="s">
        <v>415</v>
      </c>
      <c r="AA107" s="6" t="s">
        <v>828</v>
      </c>
      <c r="AB107" s="5" t="s">
        <v>829</v>
      </c>
      <c r="AC107" s="5" t="s">
        <v>830</v>
      </c>
      <c r="AD107" s="5"/>
      <c r="AE107" s="5"/>
      <c r="AF107" s="5"/>
      <c r="AG107" s="7"/>
    </row>
    <row r="108" spans="1:33" x14ac:dyDescent="0.4">
      <c r="A108" s="4">
        <v>265</v>
      </c>
      <c r="B108" s="5" t="s">
        <v>400</v>
      </c>
      <c r="C108" s="5" t="s">
        <v>831</v>
      </c>
      <c r="D108" s="5" t="s">
        <v>832</v>
      </c>
      <c r="E108" s="5" t="s">
        <v>403</v>
      </c>
      <c r="F108" s="5" t="s">
        <v>833</v>
      </c>
      <c r="G108" s="5" t="s">
        <v>33</v>
      </c>
      <c r="H108" s="5" t="s">
        <v>405</v>
      </c>
      <c r="I108" s="5" t="s">
        <v>406</v>
      </c>
      <c r="J108" s="5" t="s">
        <v>407</v>
      </c>
      <c r="K108" s="5" t="s">
        <v>408</v>
      </c>
      <c r="L108" s="5" t="s">
        <v>33</v>
      </c>
      <c r="M108" s="5">
        <v>0.5</v>
      </c>
      <c r="N108" s="5">
        <v>110</v>
      </c>
      <c r="O108" s="5">
        <v>37</v>
      </c>
      <c r="P108" s="5" t="s">
        <v>39</v>
      </c>
      <c r="Q108" s="5" t="s">
        <v>249</v>
      </c>
      <c r="R108" s="5" t="s">
        <v>250</v>
      </c>
      <c r="S108" s="5" t="s">
        <v>115</v>
      </c>
      <c r="T108" s="5" t="s">
        <v>466</v>
      </c>
      <c r="U108" s="5" t="s">
        <v>834</v>
      </c>
      <c r="V108" s="5" t="s">
        <v>835</v>
      </c>
      <c r="W108" s="5" t="s">
        <v>836</v>
      </c>
      <c r="X108" s="5" t="s">
        <v>836</v>
      </c>
      <c r="Y108" s="5" t="s">
        <v>471</v>
      </c>
      <c r="Z108" s="5" t="s">
        <v>415</v>
      </c>
      <c r="AA108" s="6" t="s">
        <v>837</v>
      </c>
      <c r="AB108" s="5" t="s">
        <v>838</v>
      </c>
      <c r="AC108" s="5" t="s">
        <v>839</v>
      </c>
      <c r="AD108" s="5"/>
      <c r="AE108" s="5"/>
      <c r="AF108" s="5"/>
      <c r="AG108" s="7"/>
    </row>
    <row r="109" spans="1:33" x14ac:dyDescent="0.4">
      <c r="A109" s="4">
        <v>266</v>
      </c>
      <c r="B109" s="5" t="s">
        <v>400</v>
      </c>
      <c r="C109" s="5" t="s">
        <v>840</v>
      </c>
      <c r="D109" s="5" t="s">
        <v>841</v>
      </c>
      <c r="E109" s="5" t="s">
        <v>403</v>
      </c>
      <c r="F109" s="5" t="s">
        <v>842</v>
      </c>
      <c r="G109" s="5" t="s">
        <v>33</v>
      </c>
      <c r="H109" s="5" t="s">
        <v>405</v>
      </c>
      <c r="I109" s="5" t="s">
        <v>406</v>
      </c>
      <c r="J109" s="5" t="s">
        <v>407</v>
      </c>
      <c r="K109" s="5" t="s">
        <v>408</v>
      </c>
      <c r="L109" s="5" t="s">
        <v>33</v>
      </c>
      <c r="M109" s="5">
        <v>0.5</v>
      </c>
      <c r="N109" s="5">
        <v>108</v>
      </c>
      <c r="O109" s="5">
        <v>28</v>
      </c>
      <c r="P109" s="5" t="s">
        <v>39</v>
      </c>
      <c r="Q109" s="5" t="s">
        <v>249</v>
      </c>
      <c r="R109" s="5" t="s">
        <v>250</v>
      </c>
      <c r="S109" s="5" t="s">
        <v>115</v>
      </c>
      <c r="T109" s="5" t="s">
        <v>466</v>
      </c>
      <c r="U109" s="5" t="s">
        <v>843</v>
      </c>
      <c r="V109" s="5" t="s">
        <v>844</v>
      </c>
      <c r="W109" s="5" t="s">
        <v>845</v>
      </c>
      <c r="X109" s="5" t="s">
        <v>846</v>
      </c>
      <c r="Y109" s="5" t="s">
        <v>471</v>
      </c>
      <c r="Z109" s="5" t="s">
        <v>415</v>
      </c>
      <c r="AA109" s="6" t="s">
        <v>847</v>
      </c>
      <c r="AB109" s="5" t="s">
        <v>848</v>
      </c>
      <c r="AC109" s="5" t="s">
        <v>849</v>
      </c>
      <c r="AD109" s="5"/>
      <c r="AE109" s="5"/>
      <c r="AF109" s="5"/>
      <c r="AG109" s="7"/>
    </row>
    <row r="110" spans="1:33" x14ac:dyDescent="0.4">
      <c r="A110" s="4">
        <v>267</v>
      </c>
      <c r="B110" s="5" t="s">
        <v>400</v>
      </c>
      <c r="C110" s="5" t="s">
        <v>576</v>
      </c>
      <c r="D110" s="5" t="s">
        <v>850</v>
      </c>
      <c r="E110" s="5" t="s">
        <v>403</v>
      </c>
      <c r="F110" s="5" t="s">
        <v>851</v>
      </c>
      <c r="G110" s="5" t="s">
        <v>38</v>
      </c>
      <c r="H110" s="5" t="s">
        <v>852</v>
      </c>
      <c r="I110" s="5" t="s">
        <v>853</v>
      </c>
      <c r="J110" s="5" t="s">
        <v>854</v>
      </c>
      <c r="K110" s="5" t="s">
        <v>855</v>
      </c>
      <c r="L110" s="5" t="s">
        <v>38</v>
      </c>
      <c r="M110" s="5">
        <v>1.5</v>
      </c>
      <c r="N110" s="5">
        <v>36</v>
      </c>
      <c r="O110" s="5">
        <v>25</v>
      </c>
      <c r="P110" s="5" t="s">
        <v>39</v>
      </c>
      <c r="Q110" s="5" t="s">
        <v>40</v>
      </c>
      <c r="R110" s="5" t="s">
        <v>41</v>
      </c>
      <c r="S110" s="5" t="s">
        <v>856</v>
      </c>
      <c r="T110" s="5" t="s">
        <v>43</v>
      </c>
      <c r="U110" s="5" t="s">
        <v>857</v>
      </c>
      <c r="V110" s="5" t="s">
        <v>858</v>
      </c>
      <c r="W110" s="5" t="s">
        <v>859</v>
      </c>
      <c r="X110" s="5" t="s">
        <v>860</v>
      </c>
      <c r="Y110" s="5" t="s">
        <v>47</v>
      </c>
      <c r="Z110" s="5" t="s">
        <v>861</v>
      </c>
      <c r="AA110" s="6" t="s">
        <v>862</v>
      </c>
      <c r="AB110" s="5" t="s">
        <v>863</v>
      </c>
      <c r="AC110" s="5" t="s">
        <v>864</v>
      </c>
      <c r="AD110" s="5" t="s">
        <v>1104</v>
      </c>
      <c r="AE110" s="5" t="s">
        <v>1109</v>
      </c>
      <c r="AF110" s="5"/>
      <c r="AG110" s="8" t="s">
        <v>1106</v>
      </c>
    </row>
    <row r="111" spans="1:33" x14ac:dyDescent="0.4">
      <c r="A111" s="4">
        <v>268</v>
      </c>
      <c r="B111" s="5" t="s">
        <v>400</v>
      </c>
      <c r="C111" s="5" t="s">
        <v>576</v>
      </c>
      <c r="D111" s="5" t="s">
        <v>865</v>
      </c>
      <c r="E111" s="5" t="s">
        <v>403</v>
      </c>
      <c r="F111" s="5" t="s">
        <v>866</v>
      </c>
      <c r="G111" s="5" t="s">
        <v>77</v>
      </c>
      <c r="H111" s="5" t="s">
        <v>867</v>
      </c>
      <c r="I111" s="5" t="s">
        <v>868</v>
      </c>
      <c r="J111" s="5" t="s">
        <v>869</v>
      </c>
      <c r="K111" s="5" t="s">
        <v>870</v>
      </c>
      <c r="L111" s="5" t="s">
        <v>77</v>
      </c>
      <c r="M111" s="5">
        <v>0.25</v>
      </c>
      <c r="N111" s="5">
        <v>34</v>
      </c>
      <c r="O111" s="5">
        <v>2</v>
      </c>
      <c r="P111" s="5" t="s">
        <v>39</v>
      </c>
      <c r="Q111" s="5" t="s">
        <v>40</v>
      </c>
      <c r="R111" s="5" t="s">
        <v>41</v>
      </c>
      <c r="S111" s="5" t="s">
        <v>522</v>
      </c>
      <c r="T111" s="5" t="s">
        <v>43</v>
      </c>
      <c r="U111" s="5" t="s">
        <v>44</v>
      </c>
      <c r="V111" s="5" t="s">
        <v>44</v>
      </c>
      <c r="W111" s="5" t="s">
        <v>44</v>
      </c>
      <c r="X111" s="5" t="s">
        <v>44</v>
      </c>
      <c r="Y111" s="5" t="s">
        <v>62</v>
      </c>
      <c r="Z111" s="5" t="s">
        <v>871</v>
      </c>
      <c r="AA111" s="6" t="s">
        <v>872</v>
      </c>
      <c r="AB111" s="5" t="s">
        <v>873</v>
      </c>
      <c r="AC111" s="5" t="s">
        <v>874</v>
      </c>
      <c r="AD111" s="5" t="s">
        <v>1104</v>
      </c>
      <c r="AE111" s="5" t="s">
        <v>1109</v>
      </c>
      <c r="AF111" s="5" t="s">
        <v>1118</v>
      </c>
      <c r="AG111" s="8" t="s">
        <v>1106</v>
      </c>
    </row>
    <row r="112" spans="1:33" x14ac:dyDescent="0.4">
      <c r="A112" s="4">
        <v>269</v>
      </c>
      <c r="B112" s="5" t="s">
        <v>400</v>
      </c>
      <c r="C112" s="5" t="s">
        <v>576</v>
      </c>
      <c r="D112" s="5" t="s">
        <v>875</v>
      </c>
      <c r="E112" s="5" t="s">
        <v>403</v>
      </c>
      <c r="F112" s="5" t="s">
        <v>876</v>
      </c>
      <c r="G112" s="5" t="s">
        <v>77</v>
      </c>
      <c r="H112" s="5" t="s">
        <v>867</v>
      </c>
      <c r="I112" s="5" t="s">
        <v>868</v>
      </c>
      <c r="J112" s="5" t="s">
        <v>869</v>
      </c>
      <c r="K112" s="5" t="s">
        <v>870</v>
      </c>
      <c r="L112" s="5" t="s">
        <v>77</v>
      </c>
      <c r="M112" s="5">
        <v>0.25</v>
      </c>
      <c r="N112" s="5">
        <v>184</v>
      </c>
      <c r="O112" s="5">
        <v>0</v>
      </c>
      <c r="P112" s="5" t="s">
        <v>1098</v>
      </c>
      <c r="Q112" s="5" t="s">
        <v>1098</v>
      </c>
      <c r="R112" s="5" t="s">
        <v>1098</v>
      </c>
      <c r="S112" s="5" t="s">
        <v>1098</v>
      </c>
      <c r="T112" s="5" t="s">
        <v>422</v>
      </c>
      <c r="U112" s="5" t="s">
        <v>423</v>
      </c>
      <c r="V112" s="5" t="s">
        <v>424</v>
      </c>
      <c r="W112" s="5" t="s">
        <v>44</v>
      </c>
      <c r="X112" s="5" t="s">
        <v>425</v>
      </c>
      <c r="Y112" s="5">
        <v>0</v>
      </c>
      <c r="Z112" s="5" t="s">
        <v>871</v>
      </c>
      <c r="AA112" s="6" t="s">
        <v>877</v>
      </c>
      <c r="AB112" s="5"/>
      <c r="AC112" s="5"/>
      <c r="AD112" s="5"/>
      <c r="AE112" s="5"/>
      <c r="AF112" s="5"/>
      <c r="AG112" s="7"/>
    </row>
    <row r="113" spans="1:33" x14ac:dyDescent="0.4">
      <c r="A113" s="4">
        <v>270</v>
      </c>
      <c r="B113" s="5" t="s">
        <v>400</v>
      </c>
      <c r="C113" s="5" t="s">
        <v>442</v>
      </c>
      <c r="D113" s="5" t="s">
        <v>878</v>
      </c>
      <c r="E113" s="5" t="s">
        <v>403</v>
      </c>
      <c r="F113" s="5" t="s">
        <v>879</v>
      </c>
      <c r="G113" s="5" t="s">
        <v>33</v>
      </c>
      <c r="H113" s="5" t="s">
        <v>518</v>
      </c>
      <c r="I113" s="5" t="s">
        <v>519</v>
      </c>
      <c r="J113" s="5" t="s">
        <v>520</v>
      </c>
      <c r="K113" s="5" t="s">
        <v>521</v>
      </c>
      <c r="L113" s="5" t="s">
        <v>33</v>
      </c>
      <c r="M113" s="5">
        <v>1</v>
      </c>
      <c r="N113" s="5">
        <v>28</v>
      </c>
      <c r="O113" s="5">
        <v>2512</v>
      </c>
      <c r="P113" s="5" t="s">
        <v>39</v>
      </c>
      <c r="Q113" s="5" t="s">
        <v>40</v>
      </c>
      <c r="R113" s="5" t="s">
        <v>41</v>
      </c>
      <c r="S113" s="5" t="s">
        <v>522</v>
      </c>
      <c r="T113" s="5" t="s">
        <v>43</v>
      </c>
      <c r="U113" s="5" t="s">
        <v>431</v>
      </c>
      <c r="V113" s="5" t="s">
        <v>880</v>
      </c>
      <c r="W113" s="5" t="s">
        <v>44</v>
      </c>
      <c r="X113" s="5" t="s">
        <v>881</v>
      </c>
      <c r="Y113" s="5" t="s">
        <v>47</v>
      </c>
      <c r="Z113" s="5" t="s">
        <v>527</v>
      </c>
      <c r="AA113" s="6" t="s">
        <v>882</v>
      </c>
      <c r="AB113" s="5" t="s">
        <v>883</v>
      </c>
      <c r="AC113" s="5" t="s">
        <v>884</v>
      </c>
      <c r="AD113" s="5" t="s">
        <v>1104</v>
      </c>
      <c r="AE113" s="5"/>
      <c r="AF113" s="5"/>
      <c r="AG113" s="8" t="s">
        <v>1106</v>
      </c>
    </row>
    <row r="114" spans="1:33" x14ac:dyDescent="0.4">
      <c r="A114" s="4">
        <v>271</v>
      </c>
      <c r="B114" s="5" t="s">
        <v>400</v>
      </c>
      <c r="C114" s="5" t="s">
        <v>649</v>
      </c>
      <c r="D114" s="5" t="s">
        <v>885</v>
      </c>
      <c r="E114" s="5" t="s">
        <v>403</v>
      </c>
      <c r="F114" s="5" t="s">
        <v>886</v>
      </c>
      <c r="G114" s="5" t="s">
        <v>38</v>
      </c>
      <c r="H114" s="5" t="s">
        <v>887</v>
      </c>
      <c r="I114" s="5" t="s">
        <v>888</v>
      </c>
      <c r="J114" s="5" t="s">
        <v>520</v>
      </c>
      <c r="K114" s="5" t="s">
        <v>889</v>
      </c>
      <c r="L114" s="5" t="s">
        <v>38</v>
      </c>
      <c r="M114" s="5">
        <v>3</v>
      </c>
      <c r="N114" s="5">
        <v>92</v>
      </c>
      <c r="O114" s="5">
        <v>7</v>
      </c>
      <c r="P114" s="5" t="s">
        <v>39</v>
      </c>
      <c r="Q114" s="5" t="s">
        <v>249</v>
      </c>
      <c r="R114" s="5" t="s">
        <v>250</v>
      </c>
      <c r="S114" s="5" t="s">
        <v>211</v>
      </c>
      <c r="T114" s="5" t="s">
        <v>251</v>
      </c>
      <c r="U114" s="5" t="s">
        <v>890</v>
      </c>
      <c r="V114" s="5" t="s">
        <v>891</v>
      </c>
      <c r="W114" s="5" t="s">
        <v>892</v>
      </c>
      <c r="X114" s="5" t="s">
        <v>893</v>
      </c>
      <c r="Y114" s="5" t="s">
        <v>256</v>
      </c>
      <c r="Z114" s="5" t="s">
        <v>894</v>
      </c>
      <c r="AA114" s="6" t="s">
        <v>258</v>
      </c>
      <c r="AB114" s="5" t="s">
        <v>895</v>
      </c>
      <c r="AC114" s="5" t="s">
        <v>896</v>
      </c>
      <c r="AD114" s="5"/>
      <c r="AE114" s="5"/>
      <c r="AF114" s="5"/>
      <c r="AG114" s="7"/>
    </row>
    <row r="115" spans="1:33" x14ac:dyDescent="0.4">
      <c r="A115" s="4">
        <v>272</v>
      </c>
      <c r="B115" s="5" t="s">
        <v>400</v>
      </c>
      <c r="C115" s="5" t="s">
        <v>649</v>
      </c>
      <c r="D115" s="5" t="s">
        <v>897</v>
      </c>
      <c r="E115" s="5" t="s">
        <v>403</v>
      </c>
      <c r="F115" s="5" t="s">
        <v>898</v>
      </c>
      <c r="G115" s="5" t="s">
        <v>38</v>
      </c>
      <c r="H115" s="5" t="s">
        <v>887</v>
      </c>
      <c r="I115" s="5" t="s">
        <v>888</v>
      </c>
      <c r="J115" s="5" t="s">
        <v>520</v>
      </c>
      <c r="K115" s="5" t="s">
        <v>889</v>
      </c>
      <c r="L115" s="5" t="s">
        <v>38</v>
      </c>
      <c r="M115" s="5">
        <v>3</v>
      </c>
      <c r="N115" s="5">
        <v>93</v>
      </c>
      <c r="O115" s="5">
        <v>10</v>
      </c>
      <c r="P115" s="5" t="s">
        <v>39</v>
      </c>
      <c r="Q115" s="5" t="s">
        <v>249</v>
      </c>
      <c r="R115" s="5" t="s">
        <v>250</v>
      </c>
      <c r="S115" s="5" t="s">
        <v>211</v>
      </c>
      <c r="T115" s="5" t="s">
        <v>251</v>
      </c>
      <c r="U115" s="5" t="s">
        <v>899</v>
      </c>
      <c r="V115" s="5" t="s">
        <v>900</v>
      </c>
      <c r="W115" s="5" t="s">
        <v>901</v>
      </c>
      <c r="X115" s="5" t="s">
        <v>902</v>
      </c>
      <c r="Y115" s="5" t="s">
        <v>256</v>
      </c>
      <c r="Z115" s="5" t="s">
        <v>894</v>
      </c>
      <c r="AA115" s="6" t="s">
        <v>258</v>
      </c>
      <c r="AB115" s="5" t="s">
        <v>903</v>
      </c>
      <c r="AC115" s="5" t="s">
        <v>904</v>
      </c>
      <c r="AD115" s="5"/>
      <c r="AE115" s="5"/>
      <c r="AF115" s="5"/>
      <c r="AG115" s="7"/>
    </row>
    <row r="116" spans="1:33" x14ac:dyDescent="0.4">
      <c r="A116" s="4">
        <v>273</v>
      </c>
      <c r="B116" s="5" t="s">
        <v>400</v>
      </c>
      <c r="C116" s="5" t="s">
        <v>481</v>
      </c>
      <c r="D116" s="5" t="s">
        <v>905</v>
      </c>
      <c r="E116" s="5" t="s">
        <v>403</v>
      </c>
      <c r="F116" s="5" t="s">
        <v>906</v>
      </c>
      <c r="G116" s="5" t="s">
        <v>33</v>
      </c>
      <c r="H116" s="5" t="s">
        <v>405</v>
      </c>
      <c r="I116" s="5" t="s">
        <v>406</v>
      </c>
      <c r="J116" s="5" t="s">
        <v>407</v>
      </c>
      <c r="K116" s="5" t="s">
        <v>408</v>
      </c>
      <c r="L116" s="5" t="s">
        <v>33</v>
      </c>
      <c r="M116" s="5">
        <v>0.5</v>
      </c>
      <c r="N116" s="5">
        <v>185</v>
      </c>
      <c r="O116" s="5">
        <v>0</v>
      </c>
      <c r="P116" s="5" t="s">
        <v>1098</v>
      </c>
      <c r="Q116" s="5" t="s">
        <v>1098</v>
      </c>
      <c r="R116" s="5" t="s">
        <v>1098</v>
      </c>
      <c r="S116" s="5" t="s">
        <v>1098</v>
      </c>
      <c r="T116" s="5" t="s">
        <v>422</v>
      </c>
      <c r="U116" s="5" t="s">
        <v>423</v>
      </c>
      <c r="V116" s="5" t="s">
        <v>424</v>
      </c>
      <c r="W116" s="5" t="s">
        <v>44</v>
      </c>
      <c r="X116" s="5" t="s">
        <v>425</v>
      </c>
      <c r="Y116" s="5">
        <v>0</v>
      </c>
      <c r="Z116" s="5" t="s">
        <v>415</v>
      </c>
      <c r="AA116" s="6" t="s">
        <v>907</v>
      </c>
      <c r="AB116" s="5"/>
      <c r="AC116" s="5"/>
      <c r="AD116" s="5"/>
      <c r="AE116" s="5"/>
      <c r="AF116" s="5"/>
      <c r="AG116" s="7"/>
    </row>
    <row r="117" spans="1:33" x14ac:dyDescent="0.4">
      <c r="A117" s="4">
        <v>274</v>
      </c>
      <c r="B117" s="5" t="s">
        <v>400</v>
      </c>
      <c r="C117" s="5" t="s">
        <v>481</v>
      </c>
      <c r="D117" s="5" t="s">
        <v>908</v>
      </c>
      <c r="E117" s="5" t="s">
        <v>403</v>
      </c>
      <c r="F117" s="5" t="s">
        <v>483</v>
      </c>
      <c r="G117" s="5" t="s">
        <v>38</v>
      </c>
      <c r="H117" s="5" t="s">
        <v>484</v>
      </c>
      <c r="I117" s="5" t="s">
        <v>485</v>
      </c>
      <c r="J117" s="5" t="s">
        <v>447</v>
      </c>
      <c r="K117" s="5" t="s">
        <v>486</v>
      </c>
      <c r="L117" s="5" t="s">
        <v>33</v>
      </c>
      <c r="M117" s="5">
        <v>1</v>
      </c>
      <c r="N117" s="5">
        <v>49</v>
      </c>
      <c r="O117" s="5">
        <v>33</v>
      </c>
      <c r="P117" s="5" t="s">
        <v>39</v>
      </c>
      <c r="Q117" s="5" t="s">
        <v>40</v>
      </c>
      <c r="R117" s="5" t="s">
        <v>41</v>
      </c>
      <c r="S117" s="5" t="s">
        <v>430</v>
      </c>
      <c r="T117" s="5" t="s">
        <v>43</v>
      </c>
      <c r="U117" s="5" t="s">
        <v>431</v>
      </c>
      <c r="V117" s="5" t="s">
        <v>909</v>
      </c>
      <c r="W117" s="5" t="s">
        <v>44</v>
      </c>
      <c r="X117" s="5" t="s">
        <v>910</v>
      </c>
      <c r="Y117" s="5" t="s">
        <v>47</v>
      </c>
      <c r="Z117" s="5" t="s">
        <v>490</v>
      </c>
      <c r="AA117" s="6" t="s">
        <v>911</v>
      </c>
      <c r="AB117" s="5" t="s">
        <v>912</v>
      </c>
      <c r="AC117" s="5" t="s">
        <v>913</v>
      </c>
      <c r="AD117" s="5" t="s">
        <v>1108</v>
      </c>
      <c r="AE117" s="9" t="s">
        <v>1109</v>
      </c>
      <c r="AF117" s="9" t="s">
        <v>1119</v>
      </c>
      <c r="AG117" s="8" t="s">
        <v>1106</v>
      </c>
    </row>
    <row r="118" spans="1:33" x14ac:dyDescent="0.4">
      <c r="A118" s="4">
        <v>275</v>
      </c>
      <c r="B118" s="5" t="s">
        <v>400</v>
      </c>
      <c r="C118" s="5" t="s">
        <v>481</v>
      </c>
      <c r="D118" s="5" t="s">
        <v>914</v>
      </c>
      <c r="E118" s="5" t="s">
        <v>403</v>
      </c>
      <c r="F118" s="5" t="s">
        <v>915</v>
      </c>
      <c r="G118" s="5" t="s">
        <v>33</v>
      </c>
      <c r="H118" s="5" t="s">
        <v>484</v>
      </c>
      <c r="I118" s="5" t="s">
        <v>485</v>
      </c>
      <c r="J118" s="5" t="s">
        <v>447</v>
      </c>
      <c r="K118" s="5" t="s">
        <v>486</v>
      </c>
      <c r="L118" s="5" t="s">
        <v>33</v>
      </c>
      <c r="M118" s="5">
        <v>0.75</v>
      </c>
      <c r="N118" s="5">
        <v>50</v>
      </c>
      <c r="O118" s="5">
        <v>33</v>
      </c>
      <c r="P118" s="5" t="s">
        <v>39</v>
      </c>
      <c r="Q118" s="5" t="s">
        <v>40</v>
      </c>
      <c r="R118" s="5" t="s">
        <v>41</v>
      </c>
      <c r="S118" s="5" t="s">
        <v>430</v>
      </c>
      <c r="T118" s="5" t="s">
        <v>43</v>
      </c>
      <c r="U118" s="5" t="s">
        <v>487</v>
      </c>
      <c r="V118" s="5" t="s">
        <v>488</v>
      </c>
      <c r="W118" s="5" t="s">
        <v>44</v>
      </c>
      <c r="X118" s="5" t="s">
        <v>489</v>
      </c>
      <c r="Y118" s="5" t="s">
        <v>47</v>
      </c>
      <c r="Z118" s="5" t="s">
        <v>490</v>
      </c>
      <c r="AA118" s="6" t="s">
        <v>911</v>
      </c>
      <c r="AB118" s="5" t="s">
        <v>916</v>
      </c>
      <c r="AC118" s="5" t="s">
        <v>917</v>
      </c>
      <c r="AD118" s="5" t="s">
        <v>1108</v>
      </c>
      <c r="AE118" s="9" t="s">
        <v>1109</v>
      </c>
      <c r="AF118" s="9" t="s">
        <v>1119</v>
      </c>
      <c r="AG118" s="8" t="s">
        <v>1106</v>
      </c>
    </row>
    <row r="119" spans="1:33" x14ac:dyDescent="0.4">
      <c r="A119" s="4">
        <v>276</v>
      </c>
      <c r="B119" s="5" t="s">
        <v>400</v>
      </c>
      <c r="C119" s="5" t="s">
        <v>614</v>
      </c>
      <c r="D119" s="5" t="s">
        <v>918</v>
      </c>
      <c r="E119" s="5" t="s">
        <v>403</v>
      </c>
      <c r="F119" s="5" t="s">
        <v>919</v>
      </c>
      <c r="G119" s="5" t="s">
        <v>33</v>
      </c>
      <c r="H119" s="5" t="s">
        <v>405</v>
      </c>
      <c r="I119" s="5" t="s">
        <v>406</v>
      </c>
      <c r="J119" s="5" t="s">
        <v>407</v>
      </c>
      <c r="K119" s="5" t="s">
        <v>408</v>
      </c>
      <c r="L119" s="5" t="s">
        <v>33</v>
      </c>
      <c r="M119" s="5">
        <v>0.5</v>
      </c>
      <c r="N119" s="5">
        <v>186</v>
      </c>
      <c r="O119" s="5">
        <v>0</v>
      </c>
      <c r="P119" s="5" t="s">
        <v>1098</v>
      </c>
      <c r="Q119" s="5" t="s">
        <v>1098</v>
      </c>
      <c r="R119" s="5" t="s">
        <v>1098</v>
      </c>
      <c r="S119" s="5" t="s">
        <v>1098</v>
      </c>
      <c r="T119" s="5" t="s">
        <v>422</v>
      </c>
      <c r="U119" s="5" t="s">
        <v>423</v>
      </c>
      <c r="V119" s="5" t="s">
        <v>424</v>
      </c>
      <c r="W119" s="5" t="s">
        <v>44</v>
      </c>
      <c r="X119" s="5" t="s">
        <v>425</v>
      </c>
      <c r="Y119" s="5">
        <v>0</v>
      </c>
      <c r="Z119" s="5" t="s">
        <v>415</v>
      </c>
      <c r="AA119" s="6" t="s">
        <v>920</v>
      </c>
      <c r="AB119" s="5"/>
      <c r="AC119" s="5"/>
      <c r="AD119" s="5"/>
      <c r="AE119" s="5"/>
      <c r="AF119" s="5"/>
      <c r="AG119" s="7"/>
    </row>
    <row r="120" spans="1:33" x14ac:dyDescent="0.4">
      <c r="A120" s="4">
        <v>277</v>
      </c>
      <c r="B120" s="5" t="s">
        <v>400</v>
      </c>
      <c r="C120" s="5" t="s">
        <v>921</v>
      </c>
      <c r="D120" s="5" t="s">
        <v>922</v>
      </c>
      <c r="E120" s="5" t="s">
        <v>403</v>
      </c>
      <c r="F120" s="5" t="s">
        <v>923</v>
      </c>
      <c r="G120" s="5" t="s">
        <v>33</v>
      </c>
      <c r="H120" s="5" t="s">
        <v>405</v>
      </c>
      <c r="I120" s="5" t="s">
        <v>406</v>
      </c>
      <c r="J120" s="5" t="s">
        <v>407</v>
      </c>
      <c r="K120" s="5" t="s">
        <v>408</v>
      </c>
      <c r="L120" s="5" t="s">
        <v>33</v>
      </c>
      <c r="M120" s="5">
        <v>0.5</v>
      </c>
      <c r="N120" s="5">
        <v>72</v>
      </c>
      <c r="O120" s="5">
        <v>43</v>
      </c>
      <c r="P120" s="5" t="s">
        <v>39</v>
      </c>
      <c r="Q120" s="5" t="s">
        <v>40</v>
      </c>
      <c r="R120" s="5" t="s">
        <v>41</v>
      </c>
      <c r="S120" s="5" t="s">
        <v>430</v>
      </c>
      <c r="T120" s="5" t="s">
        <v>43</v>
      </c>
      <c r="U120" s="5" t="s">
        <v>44</v>
      </c>
      <c r="V120" s="5" t="s">
        <v>924</v>
      </c>
      <c r="W120" s="5" t="s">
        <v>44</v>
      </c>
      <c r="X120" s="5" t="s">
        <v>44</v>
      </c>
      <c r="Y120" s="5" t="s">
        <v>925</v>
      </c>
      <c r="Z120" s="5" t="s">
        <v>415</v>
      </c>
      <c r="AA120" s="6" t="s">
        <v>926</v>
      </c>
      <c r="AB120" s="5" t="s">
        <v>927</v>
      </c>
      <c r="AC120" s="5" t="s">
        <v>928</v>
      </c>
      <c r="AD120" s="5"/>
      <c r="AE120" s="5"/>
      <c r="AF120" s="5"/>
      <c r="AG120" s="7"/>
    </row>
    <row r="121" spans="1:33" x14ac:dyDescent="0.4">
      <c r="A121" s="4">
        <v>278</v>
      </c>
      <c r="B121" s="5" t="s">
        <v>400</v>
      </c>
      <c r="C121" s="5" t="s">
        <v>921</v>
      </c>
      <c r="D121" s="5" t="s">
        <v>929</v>
      </c>
      <c r="E121" s="5" t="s">
        <v>403</v>
      </c>
      <c r="F121" s="5" t="s">
        <v>930</v>
      </c>
      <c r="G121" s="5" t="s">
        <v>33</v>
      </c>
      <c r="H121" s="5" t="s">
        <v>405</v>
      </c>
      <c r="I121" s="5" t="s">
        <v>406</v>
      </c>
      <c r="J121" s="5" t="s">
        <v>407</v>
      </c>
      <c r="K121" s="5" t="s">
        <v>408</v>
      </c>
      <c r="L121" s="5" t="s">
        <v>33</v>
      </c>
      <c r="M121" s="5">
        <v>0.5</v>
      </c>
      <c r="N121" s="5">
        <v>73</v>
      </c>
      <c r="O121" s="5">
        <v>43</v>
      </c>
      <c r="P121" s="5" t="s">
        <v>39</v>
      </c>
      <c r="Q121" s="5" t="s">
        <v>40</v>
      </c>
      <c r="R121" s="5" t="s">
        <v>41</v>
      </c>
      <c r="S121" s="5" t="s">
        <v>430</v>
      </c>
      <c r="T121" s="5" t="s">
        <v>43</v>
      </c>
      <c r="U121" s="5" t="s">
        <v>44</v>
      </c>
      <c r="V121" s="5" t="s">
        <v>924</v>
      </c>
      <c r="W121" s="5" t="s">
        <v>44</v>
      </c>
      <c r="X121" s="5" t="s">
        <v>44</v>
      </c>
      <c r="Y121" s="5" t="s">
        <v>925</v>
      </c>
      <c r="Z121" s="5" t="s">
        <v>415</v>
      </c>
      <c r="AA121" s="6" t="s">
        <v>926</v>
      </c>
      <c r="AB121" s="5" t="s">
        <v>931</v>
      </c>
      <c r="AC121" s="5" t="s">
        <v>932</v>
      </c>
      <c r="AD121" s="5"/>
      <c r="AE121" s="5"/>
      <c r="AF121" s="5"/>
      <c r="AG121" s="7"/>
    </row>
    <row r="122" spans="1:33" x14ac:dyDescent="0.4">
      <c r="A122" s="4">
        <v>279</v>
      </c>
      <c r="B122" s="5" t="s">
        <v>400</v>
      </c>
      <c r="C122" s="5" t="s">
        <v>921</v>
      </c>
      <c r="D122" s="5" t="s">
        <v>933</v>
      </c>
      <c r="E122" s="5" t="s">
        <v>403</v>
      </c>
      <c r="F122" s="5" t="s">
        <v>934</v>
      </c>
      <c r="G122" s="5" t="s">
        <v>33</v>
      </c>
      <c r="H122" s="5" t="s">
        <v>405</v>
      </c>
      <c r="I122" s="5" t="s">
        <v>406</v>
      </c>
      <c r="J122" s="5" t="s">
        <v>407</v>
      </c>
      <c r="K122" s="5" t="s">
        <v>408</v>
      </c>
      <c r="L122" s="5" t="s">
        <v>33</v>
      </c>
      <c r="M122" s="5">
        <v>0.5</v>
      </c>
      <c r="N122" s="5">
        <v>187</v>
      </c>
      <c r="O122" s="5">
        <v>0</v>
      </c>
      <c r="P122" s="5" t="s">
        <v>1098</v>
      </c>
      <c r="Q122" s="5" t="s">
        <v>1098</v>
      </c>
      <c r="R122" s="5" t="s">
        <v>1098</v>
      </c>
      <c r="S122" s="5" t="s">
        <v>1098</v>
      </c>
      <c r="T122" s="5" t="s">
        <v>935</v>
      </c>
      <c r="U122" s="5" t="s">
        <v>44</v>
      </c>
      <c r="V122" s="5" t="s">
        <v>924</v>
      </c>
      <c r="W122" s="5" t="s">
        <v>44</v>
      </c>
      <c r="X122" s="5" t="s">
        <v>44</v>
      </c>
      <c r="Y122" s="5">
        <v>0</v>
      </c>
      <c r="Z122" s="5" t="s">
        <v>415</v>
      </c>
      <c r="AA122" s="6" t="s">
        <v>926</v>
      </c>
      <c r="AB122" s="5"/>
      <c r="AC122" s="5"/>
      <c r="AD122" s="5"/>
      <c r="AE122" s="5"/>
      <c r="AF122" s="5"/>
      <c r="AG122" s="7"/>
    </row>
    <row r="123" spans="1:33" x14ac:dyDescent="0.4">
      <c r="A123" s="4">
        <v>280</v>
      </c>
      <c r="B123" s="5" t="s">
        <v>400</v>
      </c>
      <c r="C123" s="5" t="s">
        <v>659</v>
      </c>
      <c r="D123" s="5" t="s">
        <v>936</v>
      </c>
      <c r="E123" s="5" t="s">
        <v>403</v>
      </c>
      <c r="F123" s="5"/>
      <c r="G123" s="5" t="s">
        <v>33</v>
      </c>
      <c r="H123" s="5" t="s">
        <v>445</v>
      </c>
      <c r="I123" s="5" t="s">
        <v>446</v>
      </c>
      <c r="J123" s="5" t="s">
        <v>447</v>
      </c>
      <c r="K123" s="5" t="s">
        <v>448</v>
      </c>
      <c r="L123" s="5" t="s">
        <v>33</v>
      </c>
      <c r="M123" s="5">
        <v>1</v>
      </c>
      <c r="N123" s="5">
        <v>188</v>
      </c>
      <c r="O123" s="5">
        <v>0</v>
      </c>
      <c r="P123" s="5" t="s">
        <v>1098</v>
      </c>
      <c r="Q123" s="5" t="s">
        <v>1098</v>
      </c>
      <c r="R123" s="5" t="s">
        <v>1098</v>
      </c>
      <c r="S123" s="5" t="s">
        <v>1098</v>
      </c>
      <c r="T123" s="5" t="s">
        <v>422</v>
      </c>
      <c r="U123" s="5" t="s">
        <v>423</v>
      </c>
      <c r="V123" s="5" t="s">
        <v>424</v>
      </c>
      <c r="W123" s="5" t="s">
        <v>44</v>
      </c>
      <c r="X123" s="5" t="s">
        <v>425</v>
      </c>
      <c r="Y123" s="5">
        <v>0</v>
      </c>
      <c r="Z123" s="5" t="s">
        <v>450</v>
      </c>
      <c r="AA123" s="6" t="s">
        <v>937</v>
      </c>
      <c r="AB123" s="5"/>
      <c r="AC123" s="5"/>
      <c r="AD123" s="5"/>
      <c r="AE123" s="5"/>
      <c r="AF123" s="5"/>
      <c r="AG123" s="7"/>
    </row>
    <row r="124" spans="1:33" x14ac:dyDescent="0.4">
      <c r="A124" s="4">
        <v>281</v>
      </c>
      <c r="B124" s="5" t="s">
        <v>400</v>
      </c>
      <c r="C124" s="5" t="s">
        <v>938</v>
      </c>
      <c r="D124" s="5" t="s">
        <v>939</v>
      </c>
      <c r="E124" s="5" t="s">
        <v>403</v>
      </c>
      <c r="F124" s="5" t="s">
        <v>940</v>
      </c>
      <c r="G124" s="5" t="s">
        <v>33</v>
      </c>
      <c r="H124" s="5" t="s">
        <v>405</v>
      </c>
      <c r="I124" s="5" t="s">
        <v>406</v>
      </c>
      <c r="J124" s="5" t="s">
        <v>407</v>
      </c>
      <c r="K124" s="5" t="s">
        <v>408</v>
      </c>
      <c r="L124" s="5" t="s">
        <v>33</v>
      </c>
      <c r="M124" s="5">
        <v>0.5</v>
      </c>
      <c r="N124" s="5">
        <v>114</v>
      </c>
      <c r="O124" s="5">
        <v>17</v>
      </c>
      <c r="P124" s="5" t="s">
        <v>39</v>
      </c>
      <c r="Q124" s="5" t="s">
        <v>249</v>
      </c>
      <c r="R124" s="5" t="s">
        <v>250</v>
      </c>
      <c r="S124" s="5" t="s">
        <v>115</v>
      </c>
      <c r="T124" s="5" t="s">
        <v>466</v>
      </c>
      <c r="U124" s="5" t="s">
        <v>941</v>
      </c>
      <c r="V124" s="5" t="s">
        <v>942</v>
      </c>
      <c r="W124" s="5" t="s">
        <v>943</v>
      </c>
      <c r="X124" s="5" t="s">
        <v>944</v>
      </c>
      <c r="Y124" s="5" t="s">
        <v>471</v>
      </c>
      <c r="Z124" s="5" t="s">
        <v>415</v>
      </c>
      <c r="AA124" s="6" t="s">
        <v>945</v>
      </c>
      <c r="AB124" s="5" t="s">
        <v>946</v>
      </c>
      <c r="AC124" s="5" t="s">
        <v>947</v>
      </c>
      <c r="AD124" s="5"/>
      <c r="AE124" s="5"/>
      <c r="AF124" s="5"/>
      <c r="AG124" s="7"/>
    </row>
    <row r="125" spans="1:33" x14ac:dyDescent="0.4">
      <c r="A125" s="4">
        <v>282</v>
      </c>
      <c r="B125" s="5" t="s">
        <v>400</v>
      </c>
      <c r="C125" s="5" t="s">
        <v>766</v>
      </c>
      <c r="D125" s="5" t="s">
        <v>948</v>
      </c>
      <c r="E125" s="5" t="s">
        <v>403</v>
      </c>
      <c r="F125" s="5" t="s">
        <v>949</v>
      </c>
      <c r="G125" s="5" t="s">
        <v>33</v>
      </c>
      <c r="H125" s="5" t="s">
        <v>405</v>
      </c>
      <c r="I125" s="5" t="s">
        <v>406</v>
      </c>
      <c r="J125" s="5" t="s">
        <v>407</v>
      </c>
      <c r="K125" s="5" t="s">
        <v>408</v>
      </c>
      <c r="L125" s="5" t="s">
        <v>33</v>
      </c>
      <c r="M125" s="5">
        <v>0.5</v>
      </c>
      <c r="N125" s="5">
        <v>189</v>
      </c>
      <c r="O125" s="5">
        <v>0</v>
      </c>
      <c r="P125" s="5" t="s">
        <v>1098</v>
      </c>
      <c r="Q125" s="5" t="s">
        <v>1098</v>
      </c>
      <c r="R125" s="5" t="s">
        <v>1098</v>
      </c>
      <c r="S125" s="5" t="s">
        <v>1098</v>
      </c>
      <c r="T125" s="5" t="s">
        <v>422</v>
      </c>
      <c r="U125" s="5" t="s">
        <v>423</v>
      </c>
      <c r="V125" s="5" t="s">
        <v>424</v>
      </c>
      <c r="W125" s="5" t="s">
        <v>44</v>
      </c>
      <c r="X125" s="5" t="s">
        <v>425</v>
      </c>
      <c r="Y125" s="5">
        <v>0</v>
      </c>
      <c r="Z125" s="5" t="s">
        <v>415</v>
      </c>
      <c r="AA125" s="6" t="s">
        <v>950</v>
      </c>
      <c r="AB125" s="5"/>
      <c r="AC125" s="5"/>
      <c r="AD125" s="5"/>
      <c r="AE125" s="5"/>
      <c r="AF125" s="5"/>
      <c r="AG125" s="7"/>
    </row>
    <row r="126" spans="1:33" x14ac:dyDescent="0.4">
      <c r="A126" s="4">
        <v>283</v>
      </c>
      <c r="B126" s="5" t="s">
        <v>400</v>
      </c>
      <c r="C126" s="5" t="s">
        <v>766</v>
      </c>
      <c r="D126" s="5" t="s">
        <v>951</v>
      </c>
      <c r="E126" s="5" t="s">
        <v>403</v>
      </c>
      <c r="F126" s="5" t="s">
        <v>952</v>
      </c>
      <c r="G126" s="5" t="s">
        <v>33</v>
      </c>
      <c r="H126" s="5" t="s">
        <v>953</v>
      </c>
      <c r="I126" s="5" t="s">
        <v>954</v>
      </c>
      <c r="J126" s="5" t="s">
        <v>955</v>
      </c>
      <c r="K126" s="5" t="s">
        <v>956</v>
      </c>
      <c r="L126" s="5" t="s">
        <v>33</v>
      </c>
      <c r="M126" s="5">
        <v>1</v>
      </c>
      <c r="N126" s="5">
        <v>190</v>
      </c>
      <c r="O126" s="5">
        <v>0</v>
      </c>
      <c r="P126" s="5" t="s">
        <v>1098</v>
      </c>
      <c r="Q126" s="5" t="s">
        <v>1098</v>
      </c>
      <c r="R126" s="5" t="s">
        <v>1098</v>
      </c>
      <c r="S126" s="5" t="s">
        <v>1098</v>
      </c>
      <c r="T126" s="5" t="s">
        <v>422</v>
      </c>
      <c r="U126" s="5" t="s">
        <v>423</v>
      </c>
      <c r="V126" s="5" t="s">
        <v>424</v>
      </c>
      <c r="W126" s="5" t="s">
        <v>44</v>
      </c>
      <c r="X126" s="5" t="s">
        <v>425</v>
      </c>
      <c r="Y126" s="5">
        <v>0</v>
      </c>
      <c r="Z126" s="5" t="s">
        <v>957</v>
      </c>
      <c r="AA126" s="6" t="s">
        <v>958</v>
      </c>
      <c r="AB126" s="5"/>
      <c r="AC126" s="5"/>
      <c r="AD126" s="5"/>
      <c r="AE126" s="5"/>
      <c r="AF126" s="5"/>
      <c r="AG126" s="7"/>
    </row>
    <row r="127" spans="1:33" x14ac:dyDescent="0.4">
      <c r="A127" s="4">
        <v>284</v>
      </c>
      <c r="B127" s="5" t="s">
        <v>400</v>
      </c>
      <c r="C127" s="5" t="s">
        <v>576</v>
      </c>
      <c r="D127" s="5" t="s">
        <v>959</v>
      </c>
      <c r="E127" s="5" t="s">
        <v>403</v>
      </c>
      <c r="F127" s="5" t="s">
        <v>960</v>
      </c>
      <c r="G127" s="5" t="s">
        <v>77</v>
      </c>
      <c r="H127" s="5" t="s">
        <v>961</v>
      </c>
      <c r="I127" s="5" t="s">
        <v>962</v>
      </c>
      <c r="J127" s="5" t="s">
        <v>869</v>
      </c>
      <c r="K127" s="5" t="s">
        <v>963</v>
      </c>
      <c r="L127" s="5" t="s">
        <v>77</v>
      </c>
      <c r="M127" s="5">
        <v>0.25</v>
      </c>
      <c r="N127" s="5">
        <v>191</v>
      </c>
      <c r="O127" s="5">
        <v>0</v>
      </c>
      <c r="P127" s="5" t="s">
        <v>1098</v>
      </c>
      <c r="Q127" s="5" t="s">
        <v>1098</v>
      </c>
      <c r="R127" s="5" t="s">
        <v>1098</v>
      </c>
      <c r="S127" s="5" t="s">
        <v>1098</v>
      </c>
      <c r="T127" s="5" t="s">
        <v>964</v>
      </c>
      <c r="U127" s="5" t="s">
        <v>44</v>
      </c>
      <c r="V127" s="5" t="s">
        <v>253</v>
      </c>
      <c r="W127" s="5" t="s">
        <v>44</v>
      </c>
      <c r="X127" s="5" t="s">
        <v>965</v>
      </c>
      <c r="Y127" s="5">
        <v>0</v>
      </c>
      <c r="Z127" s="5" t="s">
        <v>966</v>
      </c>
      <c r="AA127" s="6" t="s">
        <v>967</v>
      </c>
      <c r="AB127" s="5"/>
      <c r="AC127" s="5"/>
      <c r="AD127" s="5"/>
      <c r="AE127" s="5"/>
      <c r="AF127" s="5"/>
      <c r="AG127" s="7"/>
    </row>
    <row r="128" spans="1:33" x14ac:dyDescent="0.4">
      <c r="A128" s="4">
        <v>285</v>
      </c>
      <c r="B128" s="5" t="s">
        <v>400</v>
      </c>
      <c r="C128" s="5" t="s">
        <v>576</v>
      </c>
      <c r="D128" s="5" t="s">
        <v>968</v>
      </c>
      <c r="E128" s="5" t="s">
        <v>403</v>
      </c>
      <c r="F128" s="5" t="s">
        <v>969</v>
      </c>
      <c r="G128" s="5" t="s">
        <v>77</v>
      </c>
      <c r="H128" s="5" t="s">
        <v>961</v>
      </c>
      <c r="I128" s="5" t="s">
        <v>962</v>
      </c>
      <c r="J128" s="5" t="s">
        <v>869</v>
      </c>
      <c r="K128" s="5" t="s">
        <v>963</v>
      </c>
      <c r="L128" s="5" t="s">
        <v>77</v>
      </c>
      <c r="M128" s="5">
        <v>0.25</v>
      </c>
      <c r="N128" s="5">
        <v>192</v>
      </c>
      <c r="O128" s="5">
        <v>0</v>
      </c>
      <c r="P128" s="5" t="s">
        <v>1098</v>
      </c>
      <c r="Q128" s="5" t="s">
        <v>1098</v>
      </c>
      <c r="R128" s="5" t="s">
        <v>1098</v>
      </c>
      <c r="S128" s="5" t="s">
        <v>1098</v>
      </c>
      <c r="T128" s="5" t="s">
        <v>422</v>
      </c>
      <c r="U128" s="5" t="s">
        <v>423</v>
      </c>
      <c r="V128" s="5" t="s">
        <v>424</v>
      </c>
      <c r="W128" s="5" t="s">
        <v>44</v>
      </c>
      <c r="X128" s="5" t="s">
        <v>425</v>
      </c>
      <c r="Y128" s="5">
        <v>0</v>
      </c>
      <c r="Z128" s="5" t="s">
        <v>966</v>
      </c>
      <c r="AA128" s="6" t="s">
        <v>970</v>
      </c>
      <c r="AB128" s="5"/>
      <c r="AC128" s="5"/>
      <c r="AD128" s="5"/>
      <c r="AE128" s="5"/>
      <c r="AF128" s="5"/>
      <c r="AG128" s="7"/>
    </row>
    <row r="129" spans="1:33" x14ac:dyDescent="0.4">
      <c r="A129" s="4">
        <v>286</v>
      </c>
      <c r="B129" s="5" t="s">
        <v>400</v>
      </c>
      <c r="C129" s="5" t="s">
        <v>971</v>
      </c>
      <c r="D129" s="5" t="s">
        <v>972</v>
      </c>
      <c r="E129" s="5" t="s">
        <v>403</v>
      </c>
      <c r="F129" s="5" t="s">
        <v>973</v>
      </c>
      <c r="G129" s="5" t="s">
        <v>33</v>
      </c>
      <c r="H129" s="5" t="s">
        <v>974</v>
      </c>
      <c r="I129" s="5" t="s">
        <v>975</v>
      </c>
      <c r="J129" s="5" t="s">
        <v>447</v>
      </c>
      <c r="K129" s="5" t="s">
        <v>976</v>
      </c>
      <c r="L129" s="5" t="s">
        <v>33</v>
      </c>
      <c r="M129" s="5">
        <v>2</v>
      </c>
      <c r="N129" s="5">
        <v>193</v>
      </c>
      <c r="O129" s="5">
        <v>0</v>
      </c>
      <c r="P129" s="5" t="s">
        <v>1098</v>
      </c>
      <c r="Q129" s="5" t="s">
        <v>1098</v>
      </c>
      <c r="R129" s="5" t="s">
        <v>1098</v>
      </c>
      <c r="S129" s="5" t="s">
        <v>1098</v>
      </c>
      <c r="T129" s="5" t="s">
        <v>422</v>
      </c>
      <c r="U129" s="5" t="s">
        <v>423</v>
      </c>
      <c r="V129" s="5" t="s">
        <v>424</v>
      </c>
      <c r="W129" s="5" t="s">
        <v>44</v>
      </c>
      <c r="X129" s="5" t="s">
        <v>425</v>
      </c>
      <c r="Y129" s="5">
        <v>0</v>
      </c>
      <c r="Z129" s="5" t="s">
        <v>977</v>
      </c>
      <c r="AA129" s="6" t="s">
        <v>978</v>
      </c>
      <c r="AB129" s="5"/>
      <c r="AC129" s="5"/>
      <c r="AD129" s="5"/>
      <c r="AE129" s="5"/>
      <c r="AF129" s="5"/>
      <c r="AG129" s="7"/>
    </row>
    <row r="130" spans="1:33" x14ac:dyDescent="0.4">
      <c r="A130" s="4">
        <v>287</v>
      </c>
      <c r="B130" s="5" t="s">
        <v>400</v>
      </c>
      <c r="C130" s="5" t="s">
        <v>971</v>
      </c>
      <c r="D130" s="5" t="s">
        <v>979</v>
      </c>
      <c r="E130" s="5" t="s">
        <v>403</v>
      </c>
      <c r="F130" s="5" t="s">
        <v>980</v>
      </c>
      <c r="G130" s="5" t="s">
        <v>33</v>
      </c>
      <c r="H130" s="5" t="s">
        <v>974</v>
      </c>
      <c r="I130" s="5" t="s">
        <v>975</v>
      </c>
      <c r="J130" s="5" t="s">
        <v>447</v>
      </c>
      <c r="K130" s="5" t="s">
        <v>976</v>
      </c>
      <c r="L130" s="5" t="s">
        <v>33</v>
      </c>
      <c r="M130" s="5">
        <v>2</v>
      </c>
      <c r="N130" s="5">
        <v>53</v>
      </c>
      <c r="O130" s="5">
        <v>8</v>
      </c>
      <c r="P130" s="5" t="s">
        <v>39</v>
      </c>
      <c r="Q130" s="5" t="s">
        <v>40</v>
      </c>
      <c r="R130" s="5" t="s">
        <v>41</v>
      </c>
      <c r="S130" s="5" t="s">
        <v>430</v>
      </c>
      <c r="T130" s="5" t="s">
        <v>43</v>
      </c>
      <c r="U130" s="5" t="s">
        <v>423</v>
      </c>
      <c r="V130" s="5" t="s">
        <v>424</v>
      </c>
      <c r="W130" s="5" t="s">
        <v>44</v>
      </c>
      <c r="X130" s="5" t="s">
        <v>425</v>
      </c>
      <c r="Y130" s="5" t="s">
        <v>449</v>
      </c>
      <c r="Z130" s="5" t="s">
        <v>977</v>
      </c>
      <c r="AA130" s="6" t="s">
        <v>981</v>
      </c>
      <c r="AB130" s="5" t="s">
        <v>982</v>
      </c>
      <c r="AC130" s="5" t="s">
        <v>983</v>
      </c>
      <c r="AD130" s="5"/>
      <c r="AE130" s="5"/>
      <c r="AF130" s="5"/>
      <c r="AG130" s="7"/>
    </row>
    <row r="131" spans="1:33" x14ac:dyDescent="0.4">
      <c r="A131" s="4">
        <v>288</v>
      </c>
      <c r="B131" s="5" t="s">
        <v>400</v>
      </c>
      <c r="C131" s="5" t="s">
        <v>971</v>
      </c>
      <c r="D131" s="5" t="s">
        <v>984</v>
      </c>
      <c r="E131" s="5" t="s">
        <v>403</v>
      </c>
      <c r="F131" s="5" t="s">
        <v>985</v>
      </c>
      <c r="G131" s="5" t="s">
        <v>33</v>
      </c>
      <c r="H131" s="5" t="s">
        <v>974</v>
      </c>
      <c r="I131" s="5" t="s">
        <v>975</v>
      </c>
      <c r="J131" s="5" t="s">
        <v>447</v>
      </c>
      <c r="K131" s="5" t="s">
        <v>976</v>
      </c>
      <c r="L131" s="5" t="s">
        <v>33</v>
      </c>
      <c r="M131" s="5">
        <v>2</v>
      </c>
      <c r="N131" s="5">
        <v>54</v>
      </c>
      <c r="O131" s="5">
        <v>1</v>
      </c>
      <c r="P131" s="5" t="s">
        <v>39</v>
      </c>
      <c r="Q131" s="5" t="s">
        <v>40</v>
      </c>
      <c r="R131" s="5" t="s">
        <v>41</v>
      </c>
      <c r="S131" s="5" t="s">
        <v>430</v>
      </c>
      <c r="T131" s="5" t="s">
        <v>43</v>
      </c>
      <c r="U131" s="5" t="s">
        <v>423</v>
      </c>
      <c r="V131" s="5" t="s">
        <v>424</v>
      </c>
      <c r="W131" s="5" t="s">
        <v>44</v>
      </c>
      <c r="X131" s="5" t="s">
        <v>425</v>
      </c>
      <c r="Y131" s="5" t="s">
        <v>449</v>
      </c>
      <c r="Z131" s="5" t="s">
        <v>977</v>
      </c>
      <c r="AA131" s="6" t="s">
        <v>986</v>
      </c>
      <c r="AB131" s="5" t="s">
        <v>987</v>
      </c>
      <c r="AC131" s="5" t="s">
        <v>988</v>
      </c>
      <c r="AD131" s="5"/>
      <c r="AE131" s="5"/>
      <c r="AF131" s="5"/>
      <c r="AG131" s="7"/>
    </row>
    <row r="132" spans="1:33" x14ac:dyDescent="0.4">
      <c r="A132" s="4">
        <v>289</v>
      </c>
      <c r="B132" s="5" t="s">
        <v>400</v>
      </c>
      <c r="C132" s="5" t="s">
        <v>971</v>
      </c>
      <c r="D132" s="5" t="s">
        <v>989</v>
      </c>
      <c r="E132" s="5" t="s">
        <v>403</v>
      </c>
      <c r="F132" s="5" t="s">
        <v>990</v>
      </c>
      <c r="G132" s="5" t="s">
        <v>33</v>
      </c>
      <c r="H132" s="5" t="s">
        <v>974</v>
      </c>
      <c r="I132" s="5" t="s">
        <v>975</v>
      </c>
      <c r="J132" s="5" t="s">
        <v>447</v>
      </c>
      <c r="K132" s="5" t="s">
        <v>976</v>
      </c>
      <c r="L132" s="5" t="s">
        <v>33</v>
      </c>
      <c r="M132" s="5">
        <v>2</v>
      </c>
      <c r="N132" s="5">
        <v>55</v>
      </c>
      <c r="O132" s="5">
        <v>6</v>
      </c>
      <c r="P132" s="5" t="s">
        <v>39</v>
      </c>
      <c r="Q132" s="5" t="s">
        <v>40</v>
      </c>
      <c r="R132" s="5" t="s">
        <v>41</v>
      </c>
      <c r="S132" s="5" t="s">
        <v>430</v>
      </c>
      <c r="T132" s="5" t="s">
        <v>43</v>
      </c>
      <c r="U132" s="5" t="s">
        <v>423</v>
      </c>
      <c r="V132" s="5" t="s">
        <v>424</v>
      </c>
      <c r="W132" s="5" t="s">
        <v>44</v>
      </c>
      <c r="X132" s="5" t="s">
        <v>425</v>
      </c>
      <c r="Y132" s="5" t="s">
        <v>449</v>
      </c>
      <c r="Z132" s="5" t="s">
        <v>977</v>
      </c>
      <c r="AA132" s="6" t="s">
        <v>991</v>
      </c>
      <c r="AB132" s="5" t="s">
        <v>992</v>
      </c>
      <c r="AC132" s="5" t="s">
        <v>993</v>
      </c>
      <c r="AD132" s="5"/>
      <c r="AE132" s="5"/>
      <c r="AF132" s="5"/>
      <c r="AG132" s="7"/>
    </row>
    <row r="133" spans="1:33" x14ac:dyDescent="0.4">
      <c r="A133" s="4">
        <v>290</v>
      </c>
      <c r="B133" s="5" t="s">
        <v>400</v>
      </c>
      <c r="C133" s="5" t="s">
        <v>971</v>
      </c>
      <c r="D133" s="5" t="s">
        <v>994</v>
      </c>
      <c r="E133" s="5" t="s">
        <v>403</v>
      </c>
      <c r="F133" s="5" t="s">
        <v>995</v>
      </c>
      <c r="G133" s="5" t="s">
        <v>33</v>
      </c>
      <c r="H133" s="5" t="s">
        <v>974</v>
      </c>
      <c r="I133" s="5" t="s">
        <v>975</v>
      </c>
      <c r="J133" s="5" t="s">
        <v>447</v>
      </c>
      <c r="K133" s="5" t="s">
        <v>976</v>
      </c>
      <c r="L133" s="5" t="s">
        <v>33</v>
      </c>
      <c r="M133" s="5">
        <v>2</v>
      </c>
      <c r="N133" s="5">
        <v>194</v>
      </c>
      <c r="O133" s="5">
        <v>0</v>
      </c>
      <c r="P133" s="5" t="s">
        <v>1098</v>
      </c>
      <c r="Q133" s="5" t="s">
        <v>1098</v>
      </c>
      <c r="R133" s="5" t="s">
        <v>1098</v>
      </c>
      <c r="S133" s="5" t="s">
        <v>1098</v>
      </c>
      <c r="T133" s="5" t="s">
        <v>422</v>
      </c>
      <c r="U133" s="5" t="s">
        <v>423</v>
      </c>
      <c r="V133" s="5" t="s">
        <v>424</v>
      </c>
      <c r="W133" s="5" t="s">
        <v>44</v>
      </c>
      <c r="X133" s="5" t="s">
        <v>425</v>
      </c>
      <c r="Y133" s="5">
        <v>0</v>
      </c>
      <c r="Z133" s="5" t="s">
        <v>977</v>
      </c>
      <c r="AA133" s="6" t="s">
        <v>996</v>
      </c>
      <c r="AB133" s="5"/>
      <c r="AC133" s="5"/>
      <c r="AD133" s="5"/>
      <c r="AE133" s="5"/>
      <c r="AF133" s="5"/>
      <c r="AG133" s="7"/>
    </row>
    <row r="134" spans="1:33" x14ac:dyDescent="0.4">
      <c r="A134" s="4">
        <v>291</v>
      </c>
      <c r="B134" s="5" t="s">
        <v>400</v>
      </c>
      <c r="C134" s="5" t="s">
        <v>971</v>
      </c>
      <c r="D134" s="5" t="s">
        <v>997</v>
      </c>
      <c r="E134" s="5" t="s">
        <v>403</v>
      </c>
      <c r="F134" s="5" t="s">
        <v>998</v>
      </c>
      <c r="G134" s="5" t="s">
        <v>33</v>
      </c>
      <c r="H134" s="5" t="s">
        <v>974</v>
      </c>
      <c r="I134" s="5" t="s">
        <v>975</v>
      </c>
      <c r="J134" s="5" t="s">
        <v>447</v>
      </c>
      <c r="K134" s="5" t="s">
        <v>976</v>
      </c>
      <c r="L134" s="5" t="s">
        <v>33</v>
      </c>
      <c r="M134" s="5">
        <v>2</v>
      </c>
      <c r="N134" s="5">
        <v>56</v>
      </c>
      <c r="O134" s="5">
        <v>17</v>
      </c>
      <c r="P134" s="5" t="s">
        <v>39</v>
      </c>
      <c r="Q134" s="5" t="s">
        <v>40</v>
      </c>
      <c r="R134" s="5" t="s">
        <v>41</v>
      </c>
      <c r="S134" s="5" t="s">
        <v>430</v>
      </c>
      <c r="T134" s="5" t="s">
        <v>43</v>
      </c>
      <c r="U134" s="5" t="s">
        <v>423</v>
      </c>
      <c r="V134" s="5" t="s">
        <v>424</v>
      </c>
      <c r="W134" s="5" t="s">
        <v>44</v>
      </c>
      <c r="X134" s="5" t="s">
        <v>425</v>
      </c>
      <c r="Y134" s="5" t="s">
        <v>449</v>
      </c>
      <c r="Z134" s="5" t="s">
        <v>977</v>
      </c>
      <c r="AA134" s="6" t="s">
        <v>999</v>
      </c>
      <c r="AB134" s="5" t="s">
        <v>1000</v>
      </c>
      <c r="AC134" s="5" t="s">
        <v>1001</v>
      </c>
      <c r="AD134" s="5"/>
      <c r="AE134" s="5"/>
      <c r="AF134" s="5"/>
      <c r="AG134" s="7"/>
    </row>
    <row r="135" spans="1:33" x14ac:dyDescent="0.4">
      <c r="A135" s="4">
        <v>292</v>
      </c>
      <c r="B135" s="5" t="s">
        <v>400</v>
      </c>
      <c r="C135" s="5" t="s">
        <v>971</v>
      </c>
      <c r="D135" s="5" t="s">
        <v>1002</v>
      </c>
      <c r="E135" s="5" t="s">
        <v>403</v>
      </c>
      <c r="F135" s="5" t="s">
        <v>1003</v>
      </c>
      <c r="G135" s="5" t="s">
        <v>33</v>
      </c>
      <c r="H135" s="5" t="s">
        <v>974</v>
      </c>
      <c r="I135" s="5" t="s">
        <v>975</v>
      </c>
      <c r="J135" s="5" t="s">
        <v>447</v>
      </c>
      <c r="K135" s="5" t="s">
        <v>976</v>
      </c>
      <c r="L135" s="5" t="s">
        <v>33</v>
      </c>
      <c r="M135" s="5">
        <v>2</v>
      </c>
      <c r="N135" s="5">
        <v>195</v>
      </c>
      <c r="O135" s="5">
        <v>0</v>
      </c>
      <c r="P135" s="5" t="s">
        <v>1098</v>
      </c>
      <c r="Q135" s="5" t="s">
        <v>1098</v>
      </c>
      <c r="R135" s="5" t="s">
        <v>1098</v>
      </c>
      <c r="S135" s="5" t="s">
        <v>1098</v>
      </c>
      <c r="T135" s="5" t="s">
        <v>422</v>
      </c>
      <c r="U135" s="5" t="s">
        <v>423</v>
      </c>
      <c r="V135" s="5" t="s">
        <v>424</v>
      </c>
      <c r="W135" s="5" t="s">
        <v>44</v>
      </c>
      <c r="X135" s="5" t="s">
        <v>425</v>
      </c>
      <c r="Y135" s="5">
        <v>0</v>
      </c>
      <c r="Z135" s="5" t="s">
        <v>977</v>
      </c>
      <c r="AA135" s="6" t="s">
        <v>1004</v>
      </c>
      <c r="AB135" s="5"/>
      <c r="AC135" s="5"/>
      <c r="AD135" s="5"/>
      <c r="AE135" s="5"/>
      <c r="AF135" s="5"/>
      <c r="AG135" s="7"/>
    </row>
    <row r="136" spans="1:33" x14ac:dyDescent="0.4">
      <c r="A136" s="4">
        <v>293</v>
      </c>
      <c r="B136" s="5" t="s">
        <v>400</v>
      </c>
      <c r="C136" s="5" t="s">
        <v>786</v>
      </c>
      <c r="D136" s="5" t="s">
        <v>1005</v>
      </c>
      <c r="E136" s="5" t="s">
        <v>403</v>
      </c>
      <c r="F136" s="5" t="s">
        <v>1006</v>
      </c>
      <c r="G136" s="5" t="s">
        <v>33</v>
      </c>
      <c r="H136" s="5" t="s">
        <v>405</v>
      </c>
      <c r="I136" s="5" t="s">
        <v>406</v>
      </c>
      <c r="J136" s="5" t="s">
        <v>407</v>
      </c>
      <c r="K136" s="5" t="s">
        <v>408</v>
      </c>
      <c r="L136" s="5" t="s">
        <v>33</v>
      </c>
      <c r="M136" s="5">
        <v>0.5</v>
      </c>
      <c r="N136" s="5">
        <v>66</v>
      </c>
      <c r="O136" s="5">
        <v>7</v>
      </c>
      <c r="P136" s="5" t="s">
        <v>39</v>
      </c>
      <c r="Q136" s="5" t="s">
        <v>40</v>
      </c>
      <c r="R136" s="5" t="s">
        <v>41</v>
      </c>
      <c r="S136" s="5" t="s">
        <v>430</v>
      </c>
      <c r="T136" s="5" t="s">
        <v>43</v>
      </c>
      <c r="U136" s="5" t="s">
        <v>423</v>
      </c>
      <c r="V136" s="5" t="s">
        <v>424</v>
      </c>
      <c r="W136" s="5" t="s">
        <v>44</v>
      </c>
      <c r="X136" s="5" t="s">
        <v>425</v>
      </c>
      <c r="Y136" s="5" t="s">
        <v>449</v>
      </c>
      <c r="Z136" s="5" t="s">
        <v>415</v>
      </c>
      <c r="AA136" s="6" t="s">
        <v>1007</v>
      </c>
      <c r="AB136" s="5" t="s">
        <v>1008</v>
      </c>
      <c r="AC136" s="5" t="s">
        <v>1009</v>
      </c>
      <c r="AD136" s="5"/>
      <c r="AE136" s="5"/>
      <c r="AF136" s="5"/>
      <c r="AG136" s="7"/>
    </row>
    <row r="137" spans="1:33" x14ac:dyDescent="0.4">
      <c r="A137" s="4">
        <v>294</v>
      </c>
      <c r="B137" s="5" t="s">
        <v>400</v>
      </c>
      <c r="C137" s="5" t="s">
        <v>401</v>
      </c>
      <c r="D137" s="5" t="s">
        <v>1010</v>
      </c>
      <c r="E137" s="5" t="s">
        <v>403</v>
      </c>
      <c r="F137" s="5" t="s">
        <v>1011</v>
      </c>
      <c r="G137" s="5" t="s">
        <v>33</v>
      </c>
      <c r="H137" s="5" t="s">
        <v>405</v>
      </c>
      <c r="I137" s="5" t="s">
        <v>406</v>
      </c>
      <c r="J137" s="5" t="s">
        <v>407</v>
      </c>
      <c r="K137" s="5" t="s">
        <v>408</v>
      </c>
      <c r="L137" s="5" t="s">
        <v>33</v>
      </c>
      <c r="M137" s="5">
        <v>0.5</v>
      </c>
      <c r="N137" s="5">
        <v>97</v>
      </c>
      <c r="O137" s="5">
        <v>18</v>
      </c>
      <c r="P137" s="5" t="s">
        <v>39</v>
      </c>
      <c r="Q137" s="5" t="s">
        <v>249</v>
      </c>
      <c r="R137" s="5" t="s">
        <v>250</v>
      </c>
      <c r="S137" s="5" t="s">
        <v>115</v>
      </c>
      <c r="T137" s="5" t="s">
        <v>409</v>
      </c>
      <c r="U137" s="5" t="s">
        <v>1012</v>
      </c>
      <c r="V137" s="5" t="s">
        <v>1013</v>
      </c>
      <c r="W137" s="5" t="s">
        <v>1014</v>
      </c>
      <c r="X137" s="5" t="s">
        <v>668</v>
      </c>
      <c r="Y137" s="5" t="s">
        <v>414</v>
      </c>
      <c r="Z137" s="5" t="s">
        <v>415</v>
      </c>
      <c r="AA137" s="6" t="s">
        <v>1015</v>
      </c>
      <c r="AB137" s="5" t="s">
        <v>1016</v>
      </c>
      <c r="AC137" s="5" t="s">
        <v>1017</v>
      </c>
      <c r="AD137" s="5"/>
      <c r="AE137" s="5"/>
      <c r="AF137" s="5"/>
      <c r="AG137" s="7"/>
    </row>
    <row r="138" spans="1:33" x14ac:dyDescent="0.4">
      <c r="A138" s="4">
        <v>295</v>
      </c>
      <c r="B138" s="5" t="s">
        <v>400</v>
      </c>
      <c r="C138" s="5" t="s">
        <v>1018</v>
      </c>
      <c r="D138" s="5" t="s">
        <v>1019</v>
      </c>
      <c r="E138" s="5" t="s">
        <v>403</v>
      </c>
      <c r="F138" s="5" t="s">
        <v>1020</v>
      </c>
      <c r="G138" s="5" t="s">
        <v>33</v>
      </c>
      <c r="H138" s="5" t="s">
        <v>405</v>
      </c>
      <c r="I138" s="5" t="s">
        <v>406</v>
      </c>
      <c r="J138" s="5" t="s">
        <v>407</v>
      </c>
      <c r="K138" s="5" t="s">
        <v>408</v>
      </c>
      <c r="L138" s="5" t="s">
        <v>33</v>
      </c>
      <c r="M138" s="5">
        <v>0.5</v>
      </c>
      <c r="N138" s="5">
        <v>196</v>
      </c>
      <c r="O138" s="5">
        <v>0</v>
      </c>
      <c r="P138" s="5" t="s">
        <v>1098</v>
      </c>
      <c r="Q138" s="5" t="s">
        <v>1098</v>
      </c>
      <c r="R138" s="5" t="s">
        <v>1098</v>
      </c>
      <c r="S138" s="5" t="s">
        <v>1098</v>
      </c>
      <c r="T138" s="5" t="s">
        <v>422</v>
      </c>
      <c r="U138" s="5" t="s">
        <v>423</v>
      </c>
      <c r="V138" s="5" t="s">
        <v>424</v>
      </c>
      <c r="W138" s="5" t="s">
        <v>44</v>
      </c>
      <c r="X138" s="5" t="s">
        <v>425</v>
      </c>
      <c r="Y138" s="5">
        <v>0</v>
      </c>
      <c r="Z138" s="5" t="s">
        <v>415</v>
      </c>
      <c r="AA138" s="6" t="s">
        <v>1021</v>
      </c>
      <c r="AB138" s="5"/>
      <c r="AC138" s="5"/>
      <c r="AD138" s="5"/>
      <c r="AE138" s="5"/>
      <c r="AF138" s="5"/>
      <c r="AG138" s="7"/>
    </row>
    <row r="139" spans="1:33" x14ac:dyDescent="0.4">
      <c r="A139" s="4">
        <v>296</v>
      </c>
      <c r="B139" s="5" t="s">
        <v>400</v>
      </c>
      <c r="C139" s="5" t="s">
        <v>1022</v>
      </c>
      <c r="D139" s="5" t="s">
        <v>1023</v>
      </c>
      <c r="E139" s="5" t="s">
        <v>403</v>
      </c>
      <c r="F139" s="5" t="s">
        <v>1024</v>
      </c>
      <c r="G139" s="5" t="s">
        <v>38</v>
      </c>
      <c r="H139" s="5" t="s">
        <v>1025</v>
      </c>
      <c r="I139" s="5" t="s">
        <v>1026</v>
      </c>
      <c r="J139" s="5" t="s">
        <v>1027</v>
      </c>
      <c r="K139" s="5" t="s">
        <v>1028</v>
      </c>
      <c r="L139" s="5" t="s">
        <v>38</v>
      </c>
      <c r="M139" s="5">
        <v>5</v>
      </c>
      <c r="N139" s="5">
        <v>197</v>
      </c>
      <c r="O139" s="5">
        <v>0</v>
      </c>
      <c r="P139" s="5" t="s">
        <v>1098</v>
      </c>
      <c r="Q139" s="5" t="s">
        <v>1098</v>
      </c>
      <c r="R139" s="5" t="s">
        <v>1098</v>
      </c>
      <c r="S139" s="5" t="s">
        <v>1098</v>
      </c>
      <c r="T139" s="5" t="s">
        <v>422</v>
      </c>
      <c r="U139" s="5" t="s">
        <v>423</v>
      </c>
      <c r="V139" s="5" t="s">
        <v>424</v>
      </c>
      <c r="W139" s="5" t="s">
        <v>44</v>
      </c>
      <c r="X139" s="5" t="s">
        <v>425</v>
      </c>
      <c r="Y139" s="5">
        <v>0</v>
      </c>
      <c r="Z139" s="5" t="s">
        <v>1029</v>
      </c>
      <c r="AA139" s="6" t="s">
        <v>1030</v>
      </c>
      <c r="AB139" s="5"/>
      <c r="AC139" s="5"/>
      <c r="AD139" s="5"/>
      <c r="AE139" s="5"/>
      <c r="AF139" s="5"/>
      <c r="AG139" s="7"/>
    </row>
    <row r="140" spans="1:33" x14ac:dyDescent="0.4">
      <c r="A140" s="4">
        <v>297</v>
      </c>
      <c r="B140" s="5" t="s">
        <v>400</v>
      </c>
      <c r="C140" s="5" t="s">
        <v>1022</v>
      </c>
      <c r="D140" s="5" t="s">
        <v>1031</v>
      </c>
      <c r="E140" s="5" t="s">
        <v>403</v>
      </c>
      <c r="F140" s="5" t="s">
        <v>1032</v>
      </c>
      <c r="G140" s="5" t="s">
        <v>38</v>
      </c>
      <c r="H140" s="5" t="s">
        <v>1025</v>
      </c>
      <c r="I140" s="5" t="s">
        <v>1026</v>
      </c>
      <c r="J140" s="5" t="s">
        <v>1027</v>
      </c>
      <c r="K140" s="5" t="s">
        <v>1028</v>
      </c>
      <c r="L140" s="5" t="s">
        <v>38</v>
      </c>
      <c r="M140" s="5">
        <v>5</v>
      </c>
      <c r="N140" s="5">
        <v>198</v>
      </c>
      <c r="O140" s="5">
        <v>0</v>
      </c>
      <c r="P140" s="5" t="s">
        <v>1098</v>
      </c>
      <c r="Q140" s="5" t="s">
        <v>1098</v>
      </c>
      <c r="R140" s="5" t="s">
        <v>1098</v>
      </c>
      <c r="S140" s="5" t="s">
        <v>1098</v>
      </c>
      <c r="T140" s="5" t="s">
        <v>422</v>
      </c>
      <c r="U140" s="5" t="s">
        <v>423</v>
      </c>
      <c r="V140" s="5" t="s">
        <v>424</v>
      </c>
      <c r="W140" s="5" t="s">
        <v>44</v>
      </c>
      <c r="X140" s="5" t="s">
        <v>425</v>
      </c>
      <c r="Y140" s="5">
        <v>0</v>
      </c>
      <c r="Z140" s="5" t="s">
        <v>1029</v>
      </c>
      <c r="AA140" s="6" t="s">
        <v>1033</v>
      </c>
      <c r="AB140" s="5"/>
      <c r="AC140" s="5"/>
      <c r="AD140" s="5"/>
      <c r="AE140" s="5"/>
      <c r="AF140" s="5"/>
      <c r="AG140" s="7"/>
    </row>
    <row r="141" spans="1:33" x14ac:dyDescent="0.4">
      <c r="A141" s="4">
        <v>298</v>
      </c>
      <c r="B141" s="5" t="s">
        <v>400</v>
      </c>
      <c r="C141" s="5" t="s">
        <v>1022</v>
      </c>
      <c r="D141" s="5" t="s">
        <v>1034</v>
      </c>
      <c r="E141" s="5" t="s">
        <v>403</v>
      </c>
      <c r="F141" s="5" t="s">
        <v>1035</v>
      </c>
      <c r="G141" s="5" t="s">
        <v>38</v>
      </c>
      <c r="H141" s="5" t="s">
        <v>1025</v>
      </c>
      <c r="I141" s="5" t="s">
        <v>1026</v>
      </c>
      <c r="J141" s="5" t="s">
        <v>1027</v>
      </c>
      <c r="K141" s="5" t="s">
        <v>1028</v>
      </c>
      <c r="L141" s="5" t="s">
        <v>38</v>
      </c>
      <c r="M141" s="5">
        <v>5</v>
      </c>
      <c r="N141" s="5">
        <v>94</v>
      </c>
      <c r="O141" s="5">
        <v>7314</v>
      </c>
      <c r="P141" s="5" t="s">
        <v>39</v>
      </c>
      <c r="Q141" s="5" t="s">
        <v>249</v>
      </c>
      <c r="R141" s="5" t="s">
        <v>250</v>
      </c>
      <c r="S141" s="5" t="s">
        <v>211</v>
      </c>
      <c r="T141" s="5" t="s">
        <v>251</v>
      </c>
      <c r="U141" s="5" t="s">
        <v>1036</v>
      </c>
      <c r="V141" s="5" t="s">
        <v>1037</v>
      </c>
      <c r="W141" s="5" t="s">
        <v>1038</v>
      </c>
      <c r="X141" s="5" t="s">
        <v>1039</v>
      </c>
      <c r="Y141" s="5" t="s">
        <v>307</v>
      </c>
      <c r="Z141" s="5" t="s">
        <v>1029</v>
      </c>
      <c r="AA141" s="6" t="s">
        <v>258</v>
      </c>
      <c r="AB141" s="5" t="s">
        <v>1040</v>
      </c>
      <c r="AC141" s="5" t="s">
        <v>1041</v>
      </c>
      <c r="AD141" s="5"/>
      <c r="AE141" s="5"/>
      <c r="AF141" s="5"/>
      <c r="AG141" s="7"/>
    </row>
    <row r="142" spans="1:33" x14ac:dyDescent="0.4">
      <c r="A142" s="4">
        <v>299</v>
      </c>
      <c r="B142" s="5" t="s">
        <v>400</v>
      </c>
      <c r="C142" s="5" t="s">
        <v>766</v>
      </c>
      <c r="D142" s="5" t="s">
        <v>1042</v>
      </c>
      <c r="E142" s="5" t="s">
        <v>403</v>
      </c>
      <c r="F142" s="5" t="s">
        <v>1043</v>
      </c>
      <c r="G142" s="5" t="s">
        <v>33</v>
      </c>
      <c r="H142" s="5" t="s">
        <v>953</v>
      </c>
      <c r="I142" s="5" t="s">
        <v>954</v>
      </c>
      <c r="J142" s="5" t="s">
        <v>955</v>
      </c>
      <c r="K142" s="5" t="s">
        <v>956</v>
      </c>
      <c r="L142" s="5" t="s">
        <v>33</v>
      </c>
      <c r="M142" s="5">
        <v>1</v>
      </c>
      <c r="N142" s="5">
        <v>31</v>
      </c>
      <c r="O142" s="5">
        <v>14</v>
      </c>
      <c r="P142" s="5" t="s">
        <v>39</v>
      </c>
      <c r="Q142" s="5" t="s">
        <v>40</v>
      </c>
      <c r="R142" s="5" t="s">
        <v>41</v>
      </c>
      <c r="S142" s="5" t="s">
        <v>522</v>
      </c>
      <c r="T142" s="5" t="s">
        <v>43</v>
      </c>
      <c r="U142" s="5" t="s">
        <v>44</v>
      </c>
      <c r="V142" s="5" t="s">
        <v>1044</v>
      </c>
      <c r="W142" s="5" t="s">
        <v>44</v>
      </c>
      <c r="X142" s="5" t="s">
        <v>1045</v>
      </c>
      <c r="Y142" s="5" t="s">
        <v>119</v>
      </c>
      <c r="Z142" s="5" t="s">
        <v>957</v>
      </c>
      <c r="AA142" s="6" t="s">
        <v>627</v>
      </c>
      <c r="AB142" s="5" t="s">
        <v>1046</v>
      </c>
      <c r="AC142" s="5" t="s">
        <v>1047</v>
      </c>
      <c r="AD142" s="5" t="s">
        <v>1104</v>
      </c>
      <c r="AE142" s="5"/>
      <c r="AF142" s="5"/>
      <c r="AG142" s="8" t="s">
        <v>1106</v>
      </c>
    </row>
    <row r="143" spans="1:33" x14ac:dyDescent="0.4">
      <c r="A143" s="4">
        <v>300</v>
      </c>
      <c r="B143" s="5" t="s">
        <v>400</v>
      </c>
      <c r="C143" s="5" t="s">
        <v>766</v>
      </c>
      <c r="D143" s="5" t="s">
        <v>1048</v>
      </c>
      <c r="E143" s="5" t="s">
        <v>403</v>
      </c>
      <c r="F143" s="5" t="s">
        <v>1049</v>
      </c>
      <c r="G143" s="5" t="s">
        <v>33</v>
      </c>
      <c r="H143" s="5" t="s">
        <v>953</v>
      </c>
      <c r="I143" s="5" t="s">
        <v>954</v>
      </c>
      <c r="J143" s="5" t="s">
        <v>955</v>
      </c>
      <c r="K143" s="5" t="s">
        <v>956</v>
      </c>
      <c r="L143" s="5" t="s">
        <v>33</v>
      </c>
      <c r="M143" s="5">
        <v>1</v>
      </c>
      <c r="N143" s="5">
        <v>32</v>
      </c>
      <c r="O143" s="5">
        <v>14</v>
      </c>
      <c r="P143" s="5" t="s">
        <v>39</v>
      </c>
      <c r="Q143" s="5" t="s">
        <v>40</v>
      </c>
      <c r="R143" s="5" t="s">
        <v>41</v>
      </c>
      <c r="S143" s="5" t="s">
        <v>522</v>
      </c>
      <c r="T143" s="5" t="s">
        <v>43</v>
      </c>
      <c r="U143" s="5" t="s">
        <v>44</v>
      </c>
      <c r="V143" s="5" t="s">
        <v>1050</v>
      </c>
      <c r="W143" s="5" t="s">
        <v>44</v>
      </c>
      <c r="X143" s="5" t="s">
        <v>1051</v>
      </c>
      <c r="Y143" s="5" t="s">
        <v>47</v>
      </c>
      <c r="Z143" s="5" t="s">
        <v>957</v>
      </c>
      <c r="AA143" s="6" t="s">
        <v>627</v>
      </c>
      <c r="AB143" s="5" t="s">
        <v>1052</v>
      </c>
      <c r="AC143" s="5" t="s">
        <v>1053</v>
      </c>
      <c r="AD143" s="5" t="s">
        <v>1104</v>
      </c>
      <c r="AE143" s="5"/>
      <c r="AF143" s="5"/>
      <c r="AG143" s="8" t="s">
        <v>1106</v>
      </c>
    </row>
    <row r="144" spans="1:33" x14ac:dyDescent="0.4">
      <c r="A144" s="4">
        <v>301</v>
      </c>
      <c r="B144" s="5" t="s">
        <v>400</v>
      </c>
      <c r="C144" s="5" t="s">
        <v>766</v>
      </c>
      <c r="D144" s="5" t="s">
        <v>1054</v>
      </c>
      <c r="E144" s="5" t="s">
        <v>403</v>
      </c>
      <c r="F144" s="5" t="s">
        <v>1055</v>
      </c>
      <c r="G144" s="5" t="s">
        <v>33</v>
      </c>
      <c r="H144" s="5" t="s">
        <v>953</v>
      </c>
      <c r="I144" s="5" t="s">
        <v>954</v>
      </c>
      <c r="J144" s="5" t="s">
        <v>955</v>
      </c>
      <c r="K144" s="5" t="s">
        <v>956</v>
      </c>
      <c r="L144" s="5" t="s">
        <v>33</v>
      </c>
      <c r="M144" s="5">
        <v>1</v>
      </c>
      <c r="N144" s="5">
        <v>30</v>
      </c>
      <c r="O144" s="5">
        <v>14</v>
      </c>
      <c r="P144" s="5" t="s">
        <v>39</v>
      </c>
      <c r="Q144" s="5" t="s">
        <v>40</v>
      </c>
      <c r="R144" s="5" t="s">
        <v>41</v>
      </c>
      <c r="S144" s="5" t="s">
        <v>522</v>
      </c>
      <c r="T144" s="5" t="s">
        <v>43</v>
      </c>
      <c r="U144" s="5" t="s">
        <v>44</v>
      </c>
      <c r="V144" s="5" t="s">
        <v>1056</v>
      </c>
      <c r="W144" s="5" t="s">
        <v>44</v>
      </c>
      <c r="X144" s="5" t="s">
        <v>1057</v>
      </c>
      <c r="Y144" s="5" t="s">
        <v>119</v>
      </c>
      <c r="Z144" s="5" t="s">
        <v>957</v>
      </c>
      <c r="AA144" s="6" t="s">
        <v>627</v>
      </c>
      <c r="AB144" s="5" t="s">
        <v>1058</v>
      </c>
      <c r="AC144" s="5" t="s">
        <v>1059</v>
      </c>
      <c r="AD144" s="5" t="s">
        <v>1104</v>
      </c>
      <c r="AE144" s="5"/>
      <c r="AF144" s="5"/>
      <c r="AG144" s="8" t="s">
        <v>1106</v>
      </c>
    </row>
    <row r="145" spans="1:33" x14ac:dyDescent="0.4">
      <c r="A145" s="4">
        <v>302</v>
      </c>
      <c r="B145" s="5" t="s">
        <v>400</v>
      </c>
      <c r="C145" s="5" t="s">
        <v>766</v>
      </c>
      <c r="D145" s="5" t="s">
        <v>1060</v>
      </c>
      <c r="E145" s="5" t="s">
        <v>403</v>
      </c>
      <c r="F145" s="5" t="s">
        <v>1061</v>
      </c>
      <c r="G145" s="5" t="s">
        <v>33</v>
      </c>
      <c r="H145" s="5" t="s">
        <v>953</v>
      </c>
      <c r="I145" s="5" t="s">
        <v>954</v>
      </c>
      <c r="J145" s="5" t="s">
        <v>955</v>
      </c>
      <c r="K145" s="5" t="s">
        <v>956</v>
      </c>
      <c r="L145" s="5" t="s">
        <v>33</v>
      </c>
      <c r="M145" s="5">
        <v>1</v>
      </c>
      <c r="N145" s="5">
        <v>33</v>
      </c>
      <c r="O145" s="5">
        <v>5</v>
      </c>
      <c r="P145" s="5" t="s">
        <v>39</v>
      </c>
      <c r="Q145" s="5" t="s">
        <v>40</v>
      </c>
      <c r="R145" s="5" t="s">
        <v>41</v>
      </c>
      <c r="S145" s="5" t="s">
        <v>522</v>
      </c>
      <c r="T145" s="5" t="s">
        <v>43</v>
      </c>
      <c r="U145" s="5" t="s">
        <v>44</v>
      </c>
      <c r="V145" s="5" t="s">
        <v>1062</v>
      </c>
      <c r="W145" s="5" t="s">
        <v>44</v>
      </c>
      <c r="X145" s="5" t="s">
        <v>625</v>
      </c>
      <c r="Y145" s="5" t="s">
        <v>119</v>
      </c>
      <c r="Z145" s="5" t="s">
        <v>957</v>
      </c>
      <c r="AA145" s="6" t="s">
        <v>627</v>
      </c>
      <c r="AB145" s="5" t="s">
        <v>1063</v>
      </c>
      <c r="AC145" s="5" t="s">
        <v>1064</v>
      </c>
      <c r="AD145" s="5" t="s">
        <v>1104</v>
      </c>
      <c r="AE145" s="5"/>
      <c r="AF145" s="5"/>
      <c r="AG145" s="8" t="s">
        <v>1106</v>
      </c>
    </row>
    <row r="146" spans="1:33" x14ac:dyDescent="0.4">
      <c r="A146" s="4">
        <v>303</v>
      </c>
      <c r="B146" s="5" t="s">
        <v>400</v>
      </c>
      <c r="C146" s="5" t="s">
        <v>766</v>
      </c>
      <c r="D146" s="5" t="s">
        <v>1065</v>
      </c>
      <c r="E146" s="5" t="s">
        <v>403</v>
      </c>
      <c r="F146" s="5" t="s">
        <v>664</v>
      </c>
      <c r="G146" s="5" t="s">
        <v>33</v>
      </c>
      <c r="H146" s="5" t="s">
        <v>405</v>
      </c>
      <c r="I146" s="5" t="s">
        <v>406</v>
      </c>
      <c r="J146" s="5" t="s">
        <v>407</v>
      </c>
      <c r="K146" s="5" t="s">
        <v>408</v>
      </c>
      <c r="L146" s="5" t="s">
        <v>33</v>
      </c>
      <c r="M146" s="5">
        <v>0.5</v>
      </c>
      <c r="N146" s="5">
        <v>106</v>
      </c>
      <c r="O146" s="5">
        <v>5158</v>
      </c>
      <c r="P146" s="5" t="s">
        <v>39</v>
      </c>
      <c r="Q146" s="5" t="s">
        <v>249</v>
      </c>
      <c r="R146" s="5" t="s">
        <v>250</v>
      </c>
      <c r="S146" s="5" t="s">
        <v>115</v>
      </c>
      <c r="T146" s="5" t="s">
        <v>466</v>
      </c>
      <c r="U146" s="5" t="s">
        <v>1066</v>
      </c>
      <c r="V146" s="5" t="s">
        <v>1067</v>
      </c>
      <c r="W146" s="5" t="s">
        <v>1068</v>
      </c>
      <c r="X146" s="5" t="s">
        <v>1069</v>
      </c>
      <c r="Y146" s="5" t="s">
        <v>471</v>
      </c>
      <c r="Z146" s="5" t="s">
        <v>415</v>
      </c>
      <c r="AA146" s="6" t="s">
        <v>1070</v>
      </c>
      <c r="AB146" s="5" t="s">
        <v>1071</v>
      </c>
      <c r="AC146" s="5" t="s">
        <v>1072</v>
      </c>
      <c r="AD146" s="5"/>
      <c r="AE146" s="5"/>
      <c r="AF146" s="5"/>
      <c r="AG146" s="7"/>
    </row>
    <row r="147" spans="1:33" x14ac:dyDescent="0.4">
      <c r="A147" s="4">
        <v>304</v>
      </c>
      <c r="B147" s="5" t="s">
        <v>400</v>
      </c>
      <c r="C147" s="5" t="s">
        <v>766</v>
      </c>
      <c r="D147" s="5" t="s">
        <v>1073</v>
      </c>
      <c r="E147" s="5" t="s">
        <v>403</v>
      </c>
      <c r="F147" s="5" t="s">
        <v>1074</v>
      </c>
      <c r="G147" s="5" t="s">
        <v>33</v>
      </c>
      <c r="H147" s="5" t="s">
        <v>953</v>
      </c>
      <c r="I147" s="5" t="s">
        <v>954</v>
      </c>
      <c r="J147" s="5" t="s">
        <v>955</v>
      </c>
      <c r="K147" s="5" t="s">
        <v>956</v>
      </c>
      <c r="L147" s="5" t="s">
        <v>33</v>
      </c>
      <c r="M147" s="5">
        <v>1</v>
      </c>
      <c r="N147" s="5">
        <v>199</v>
      </c>
      <c r="O147" s="5">
        <v>0</v>
      </c>
      <c r="P147" s="5" t="s">
        <v>1098</v>
      </c>
      <c r="Q147" s="5" t="s">
        <v>1098</v>
      </c>
      <c r="R147" s="5" t="s">
        <v>1098</v>
      </c>
      <c r="S147" s="5" t="s">
        <v>1098</v>
      </c>
      <c r="T147" s="5" t="s">
        <v>422</v>
      </c>
      <c r="U147" s="5" t="s">
        <v>423</v>
      </c>
      <c r="V147" s="5" t="s">
        <v>424</v>
      </c>
      <c r="W147" s="5" t="s">
        <v>44</v>
      </c>
      <c r="X147" s="5" t="s">
        <v>425</v>
      </c>
      <c r="Y147" s="5">
        <v>0</v>
      </c>
      <c r="Z147" s="5" t="s">
        <v>957</v>
      </c>
      <c r="AA147" s="6" t="s">
        <v>1075</v>
      </c>
      <c r="AB147" s="5"/>
      <c r="AC147" s="5"/>
      <c r="AD147" s="5"/>
      <c r="AE147" s="5"/>
      <c r="AF147" s="5"/>
      <c r="AG147" s="7"/>
    </row>
    <row r="148" spans="1:33" x14ac:dyDescent="0.4">
      <c r="A148" s="4">
        <v>305</v>
      </c>
      <c r="B148" s="5" t="s">
        <v>400</v>
      </c>
      <c r="C148" s="5" t="s">
        <v>766</v>
      </c>
      <c r="D148" s="5" t="s">
        <v>1076</v>
      </c>
      <c r="E148" s="5" t="s">
        <v>403</v>
      </c>
      <c r="F148" s="5" t="s">
        <v>1077</v>
      </c>
      <c r="G148" s="5" t="s">
        <v>33</v>
      </c>
      <c r="H148" s="5" t="s">
        <v>405</v>
      </c>
      <c r="I148" s="5" t="s">
        <v>406</v>
      </c>
      <c r="J148" s="5" t="s">
        <v>407</v>
      </c>
      <c r="K148" s="5" t="s">
        <v>408</v>
      </c>
      <c r="L148" s="5" t="s">
        <v>33</v>
      </c>
      <c r="M148" s="5">
        <v>0.5</v>
      </c>
      <c r="N148" s="5">
        <v>200</v>
      </c>
      <c r="O148" s="5">
        <v>0</v>
      </c>
      <c r="P148" s="5" t="s">
        <v>1098</v>
      </c>
      <c r="Q148" s="5" t="s">
        <v>1098</v>
      </c>
      <c r="R148" s="5" t="s">
        <v>1098</v>
      </c>
      <c r="S148" s="5" t="s">
        <v>1098</v>
      </c>
      <c r="T148" s="5" t="s">
        <v>422</v>
      </c>
      <c r="U148" s="5" t="s">
        <v>423</v>
      </c>
      <c r="V148" s="5" t="s">
        <v>424</v>
      </c>
      <c r="W148" s="5" t="s">
        <v>44</v>
      </c>
      <c r="X148" s="5" t="s">
        <v>425</v>
      </c>
      <c r="Y148" s="5">
        <v>0</v>
      </c>
      <c r="Z148" s="5" t="s">
        <v>415</v>
      </c>
      <c r="AA148" s="6" t="s">
        <v>1078</v>
      </c>
      <c r="AB148" s="5"/>
      <c r="AC148" s="5"/>
      <c r="AD148" s="5"/>
      <c r="AE148" s="5"/>
      <c r="AF148" s="5"/>
      <c r="AG148" s="7"/>
    </row>
    <row r="149" spans="1:33" x14ac:dyDescent="0.4">
      <c r="A149" s="4">
        <v>306</v>
      </c>
      <c r="B149" s="5" t="s">
        <v>400</v>
      </c>
      <c r="C149" s="5" t="s">
        <v>766</v>
      </c>
      <c r="D149" s="5" t="s">
        <v>1079</v>
      </c>
      <c r="E149" s="5" t="s">
        <v>403</v>
      </c>
      <c r="F149" s="5" t="s">
        <v>1080</v>
      </c>
      <c r="G149" s="5" t="s">
        <v>33</v>
      </c>
      <c r="H149" s="5" t="s">
        <v>405</v>
      </c>
      <c r="I149" s="5" t="s">
        <v>406</v>
      </c>
      <c r="J149" s="5" t="s">
        <v>407</v>
      </c>
      <c r="K149" s="5" t="s">
        <v>408</v>
      </c>
      <c r="L149" s="5" t="s">
        <v>33</v>
      </c>
      <c r="M149" s="5">
        <v>0.5</v>
      </c>
      <c r="N149" s="5">
        <v>65</v>
      </c>
      <c r="O149" s="5">
        <v>25</v>
      </c>
      <c r="P149" s="5" t="s">
        <v>39</v>
      </c>
      <c r="Q149" s="5" t="s">
        <v>40</v>
      </c>
      <c r="R149" s="5" t="s">
        <v>41</v>
      </c>
      <c r="S149" s="5" t="s">
        <v>430</v>
      </c>
      <c r="T149" s="5" t="s">
        <v>43</v>
      </c>
      <c r="U149" s="5" t="s">
        <v>44</v>
      </c>
      <c r="V149" s="5" t="s">
        <v>624</v>
      </c>
      <c r="W149" s="5" t="s">
        <v>44</v>
      </c>
      <c r="X149" s="5" t="s">
        <v>625</v>
      </c>
      <c r="Y149" s="5" t="s">
        <v>626</v>
      </c>
      <c r="Z149" s="5" t="s">
        <v>415</v>
      </c>
      <c r="AA149" s="6" t="s">
        <v>627</v>
      </c>
      <c r="AB149" s="5" t="s">
        <v>1081</v>
      </c>
      <c r="AC149" s="5" t="s">
        <v>1082</v>
      </c>
      <c r="AD149" s="5"/>
      <c r="AE149" s="5"/>
      <c r="AF149" s="5"/>
      <c r="AG149" s="7"/>
    </row>
    <row r="150" spans="1:33" x14ac:dyDescent="0.4">
      <c r="A150" s="4">
        <v>307</v>
      </c>
      <c r="B150" s="5" t="s">
        <v>400</v>
      </c>
      <c r="C150" s="5" t="s">
        <v>766</v>
      </c>
      <c r="D150" s="5" t="s">
        <v>1083</v>
      </c>
      <c r="E150" s="5" t="s">
        <v>403</v>
      </c>
      <c r="F150" s="5" t="s">
        <v>1080</v>
      </c>
      <c r="G150" s="5" t="s">
        <v>33</v>
      </c>
      <c r="H150" s="5" t="s">
        <v>518</v>
      </c>
      <c r="I150" s="5" t="s">
        <v>519</v>
      </c>
      <c r="J150" s="5" t="s">
        <v>520</v>
      </c>
      <c r="K150" s="5" t="s">
        <v>521</v>
      </c>
      <c r="L150" s="5" t="s">
        <v>33</v>
      </c>
      <c r="M150" s="5">
        <v>1</v>
      </c>
      <c r="N150" s="5">
        <v>29</v>
      </c>
      <c r="O150" s="5">
        <v>25</v>
      </c>
      <c r="P150" s="5" t="s">
        <v>39</v>
      </c>
      <c r="Q150" s="5" t="s">
        <v>40</v>
      </c>
      <c r="R150" s="5" t="s">
        <v>41</v>
      </c>
      <c r="S150" s="5" t="s">
        <v>522</v>
      </c>
      <c r="T150" s="5" t="s">
        <v>43</v>
      </c>
      <c r="U150" s="5" t="s">
        <v>1084</v>
      </c>
      <c r="V150" s="5" t="s">
        <v>1085</v>
      </c>
      <c r="W150" s="5" t="s">
        <v>44</v>
      </c>
      <c r="X150" s="5" t="s">
        <v>1086</v>
      </c>
      <c r="Y150" s="5" t="s">
        <v>119</v>
      </c>
      <c r="Z150" s="5" t="s">
        <v>527</v>
      </c>
      <c r="AA150" s="6" t="s">
        <v>1087</v>
      </c>
      <c r="AB150" s="5" t="s">
        <v>1088</v>
      </c>
      <c r="AC150" s="5" t="s">
        <v>1089</v>
      </c>
      <c r="AD150" s="5" t="s">
        <v>1104</v>
      </c>
      <c r="AE150" s="5"/>
      <c r="AF150" s="5"/>
      <c r="AG150" s="8" t="s">
        <v>1106</v>
      </c>
    </row>
    <row r="151" spans="1:33" x14ac:dyDescent="0.4">
      <c r="A151" s="10">
        <v>308</v>
      </c>
      <c r="B151" s="11" t="s">
        <v>400</v>
      </c>
      <c r="C151" s="11" t="s">
        <v>688</v>
      </c>
      <c r="D151" s="11" t="s">
        <v>1090</v>
      </c>
      <c r="E151" s="11" t="s">
        <v>403</v>
      </c>
      <c r="F151" s="11" t="s">
        <v>1091</v>
      </c>
      <c r="G151" s="11" t="s">
        <v>33</v>
      </c>
      <c r="H151" s="11" t="s">
        <v>561</v>
      </c>
      <c r="I151" s="11" t="s">
        <v>562</v>
      </c>
      <c r="J151" s="11" t="s">
        <v>563</v>
      </c>
      <c r="K151" s="11" t="s">
        <v>564</v>
      </c>
      <c r="L151" s="11" t="s">
        <v>33</v>
      </c>
      <c r="M151" s="11">
        <v>1.5</v>
      </c>
      <c r="N151" s="11">
        <v>90</v>
      </c>
      <c r="O151" s="11">
        <v>12</v>
      </c>
      <c r="P151" s="11" t="s">
        <v>39</v>
      </c>
      <c r="Q151" s="11" t="s">
        <v>249</v>
      </c>
      <c r="R151" s="11" t="s">
        <v>250</v>
      </c>
      <c r="S151" s="11" t="s">
        <v>42</v>
      </c>
      <c r="T151" s="11" t="s">
        <v>251</v>
      </c>
      <c r="U151" s="11" t="s">
        <v>1092</v>
      </c>
      <c r="V151" s="11" t="s">
        <v>1093</v>
      </c>
      <c r="W151" s="11" t="s">
        <v>1094</v>
      </c>
      <c r="X151" s="11" t="s">
        <v>1095</v>
      </c>
      <c r="Y151" s="11" t="s">
        <v>256</v>
      </c>
      <c r="Z151" s="11" t="s">
        <v>567</v>
      </c>
      <c r="AA151" s="12" t="s">
        <v>258</v>
      </c>
      <c r="AB151" s="11" t="s">
        <v>1096</v>
      </c>
      <c r="AC151" s="11" t="s">
        <v>1097</v>
      </c>
      <c r="AD151" s="11" t="s">
        <v>1108</v>
      </c>
      <c r="AE151" s="11"/>
      <c r="AF151" s="11"/>
      <c r="AG151" s="13" t="s">
        <v>1106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2AB1-3312-48CB-A668-BE8C750EDBD6}">
  <dimension ref="A1:AA116"/>
  <sheetViews>
    <sheetView tabSelected="1" topLeftCell="L1" zoomScaleNormal="100" workbookViewId="0">
      <pane ySplit="1" topLeftCell="A2" activePane="bottomLeft" state="frozen"/>
      <selection activeCell="B1" sqref="B1"/>
      <selection pane="bottomLeft" activeCell="Y95" sqref="Y95"/>
    </sheetView>
  </sheetViews>
  <sheetFormatPr defaultRowHeight="17.399999999999999" x14ac:dyDescent="0.4"/>
  <cols>
    <col min="1" max="1" width="5" style="34" customWidth="1"/>
    <col min="2" max="2" width="8.6640625" style="34"/>
    <col min="3" max="3" width="12.08203125" style="34" customWidth="1"/>
    <col min="4" max="4" width="12.6640625" style="34" customWidth="1"/>
    <col min="5" max="5" width="17.1640625" style="34" customWidth="1"/>
    <col min="6" max="6" width="12.58203125" style="34" customWidth="1"/>
    <col min="7" max="7" width="11.83203125" style="34" customWidth="1"/>
    <col min="8" max="12" width="6.75" style="34" customWidth="1"/>
    <col min="13" max="14" width="8.6640625" style="34" customWidth="1"/>
    <col min="15" max="15" width="11.75" style="34" customWidth="1"/>
    <col min="16" max="16" width="17" style="34" customWidth="1"/>
    <col min="17" max="17" width="10.25" style="34" customWidth="1"/>
    <col min="18" max="18" width="7.58203125" style="34" customWidth="1"/>
    <col min="19" max="19" width="10.58203125" style="34" customWidth="1"/>
    <col min="20" max="20" width="11.33203125" style="16" customWidth="1"/>
    <col min="21" max="21" width="7.83203125" style="34" customWidth="1"/>
    <col min="22" max="22" width="7.4140625" style="34" customWidth="1"/>
    <col min="23" max="23" width="13.25" style="34" customWidth="1"/>
    <col min="24" max="24" width="13.4140625" style="34" customWidth="1"/>
    <col min="25" max="25" width="5.9140625" style="34" customWidth="1"/>
    <col min="26" max="27" width="4.6640625" style="34" customWidth="1"/>
    <col min="28" max="16384" width="8.6640625" style="34"/>
  </cols>
  <sheetData>
    <row r="1" spans="1:27" s="17" customFormat="1" ht="72" x14ac:dyDescent="0.4">
      <c r="A1" s="22" t="s">
        <v>17</v>
      </c>
      <c r="B1" s="23" t="s">
        <v>18</v>
      </c>
      <c r="C1" s="23" t="s">
        <v>19</v>
      </c>
      <c r="D1" s="23" t="s">
        <v>9</v>
      </c>
      <c r="E1" s="23" t="s">
        <v>2</v>
      </c>
      <c r="F1" s="23" t="s">
        <v>3</v>
      </c>
      <c r="G1" s="23" t="s">
        <v>1120</v>
      </c>
      <c r="H1" s="23" t="s">
        <v>24</v>
      </c>
      <c r="I1" s="23" t="s">
        <v>21</v>
      </c>
      <c r="J1" s="23" t="s">
        <v>23</v>
      </c>
      <c r="K1" s="23" t="s">
        <v>20</v>
      </c>
      <c r="L1" s="23" t="s">
        <v>22</v>
      </c>
      <c r="M1" s="23" t="s">
        <v>26</v>
      </c>
      <c r="N1" s="23" t="s">
        <v>27</v>
      </c>
      <c r="O1" s="23" t="s">
        <v>1242</v>
      </c>
      <c r="P1" s="23" t="s">
        <v>1342</v>
      </c>
      <c r="Q1" s="23" t="s">
        <v>1343</v>
      </c>
      <c r="R1" s="23" t="s">
        <v>1339</v>
      </c>
      <c r="S1" s="23" t="s">
        <v>1340</v>
      </c>
      <c r="T1" s="23" t="s">
        <v>1338</v>
      </c>
      <c r="U1" s="24" t="s">
        <v>1341</v>
      </c>
      <c r="V1" s="24" t="s">
        <v>1243</v>
      </c>
      <c r="W1" s="24" t="s">
        <v>1244</v>
      </c>
      <c r="X1" s="24" t="s">
        <v>1245</v>
      </c>
      <c r="Y1" s="24" t="s">
        <v>1135</v>
      </c>
      <c r="Z1" s="24" t="s">
        <v>1136</v>
      </c>
      <c r="AA1" s="24" t="s">
        <v>1137</v>
      </c>
    </row>
    <row r="2" spans="1:27" x14ac:dyDescent="0.4">
      <c r="A2" s="27" t="s">
        <v>41</v>
      </c>
      <c r="B2" s="20" t="s">
        <v>225</v>
      </c>
      <c r="C2" s="21" t="s">
        <v>43</v>
      </c>
      <c r="D2" s="21" t="s">
        <v>75</v>
      </c>
      <c r="E2" s="21" t="s">
        <v>297</v>
      </c>
      <c r="F2" s="21" t="s">
        <v>310</v>
      </c>
      <c r="G2" s="21" t="s">
        <v>318</v>
      </c>
      <c r="H2" s="14" t="s">
        <v>316</v>
      </c>
      <c r="I2" s="33" t="s">
        <v>315</v>
      </c>
      <c r="J2" s="33" t="s">
        <v>44</v>
      </c>
      <c r="K2" s="33" t="s">
        <v>44</v>
      </c>
      <c r="L2" s="33" t="s">
        <v>44</v>
      </c>
      <c r="M2" s="14" t="s">
        <v>319</v>
      </c>
      <c r="N2" s="14" t="s">
        <v>320</v>
      </c>
      <c r="O2" s="14" t="s">
        <v>1238</v>
      </c>
      <c r="P2" s="14" t="s">
        <v>1138</v>
      </c>
      <c r="Q2" s="14" t="s">
        <v>1121</v>
      </c>
      <c r="R2" s="14" t="s">
        <v>1121</v>
      </c>
      <c r="S2" s="14" t="s">
        <v>1121</v>
      </c>
      <c r="T2" s="14" t="s">
        <v>1121</v>
      </c>
      <c r="U2" s="14">
        <v>247</v>
      </c>
      <c r="V2" s="35">
        <v>1</v>
      </c>
      <c r="W2" s="14" t="s">
        <v>1246</v>
      </c>
      <c r="X2" s="14" t="s">
        <v>1247</v>
      </c>
      <c r="Y2" s="14">
        <v>4</v>
      </c>
      <c r="Z2" s="14">
        <v>2</v>
      </c>
      <c r="AA2" s="14">
        <f>SUM(Y2:Z2)</f>
        <v>6</v>
      </c>
    </row>
    <row r="3" spans="1:27" x14ac:dyDescent="0.4">
      <c r="A3" s="28" t="s">
        <v>41</v>
      </c>
      <c r="B3" s="19" t="s">
        <v>225</v>
      </c>
      <c r="C3" s="18" t="s">
        <v>43</v>
      </c>
      <c r="D3" s="18" t="s">
        <v>223</v>
      </c>
      <c r="E3" s="18" t="s">
        <v>217</v>
      </c>
      <c r="F3" s="18" t="s">
        <v>218</v>
      </c>
      <c r="G3" s="18" t="s">
        <v>228</v>
      </c>
      <c r="H3" s="14" t="s">
        <v>47</v>
      </c>
      <c r="I3" s="33" t="s">
        <v>226</v>
      </c>
      <c r="J3" s="33" t="s">
        <v>227</v>
      </c>
      <c r="K3" s="33" t="s">
        <v>44</v>
      </c>
      <c r="L3" s="33" t="s">
        <v>44</v>
      </c>
      <c r="M3" s="14" t="s">
        <v>229</v>
      </c>
      <c r="N3" s="14" t="s">
        <v>230</v>
      </c>
      <c r="O3" s="14" t="s">
        <v>1238</v>
      </c>
      <c r="P3" s="14" t="s">
        <v>1139</v>
      </c>
      <c r="Q3" s="14" t="s">
        <v>1121</v>
      </c>
      <c r="R3" s="14" t="s">
        <v>1121</v>
      </c>
      <c r="S3" s="14" t="s">
        <v>1121</v>
      </c>
      <c r="T3" s="14" t="s">
        <v>1121</v>
      </c>
      <c r="U3" s="14">
        <v>1</v>
      </c>
      <c r="V3" s="35">
        <v>1</v>
      </c>
      <c r="W3" s="14" t="s">
        <v>1246</v>
      </c>
      <c r="X3" s="14" t="s">
        <v>1248</v>
      </c>
      <c r="Y3" s="14">
        <v>0.1</v>
      </c>
      <c r="Z3" s="14">
        <v>0.1</v>
      </c>
      <c r="AA3" s="14">
        <v>0.2</v>
      </c>
    </row>
    <row r="4" spans="1:27" x14ac:dyDescent="0.4">
      <c r="A4" s="28" t="s">
        <v>41</v>
      </c>
      <c r="B4" s="15" t="s">
        <v>1122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1238</v>
      </c>
      <c r="P4" s="15"/>
      <c r="Q4" s="15"/>
      <c r="R4" s="15"/>
      <c r="S4" s="15"/>
      <c r="T4" s="15"/>
      <c r="U4" s="15">
        <v>248</v>
      </c>
      <c r="V4" s="15"/>
      <c r="W4" s="15"/>
      <c r="X4" s="15"/>
      <c r="Y4" s="15">
        <f>SUM(Y2:Y3)</f>
        <v>4.0999999999999996</v>
      </c>
      <c r="Z4" s="15">
        <f t="shared" ref="Z4:AA4" si="0">SUM(Z2:Z3)</f>
        <v>2.1</v>
      </c>
      <c r="AA4" s="15">
        <f t="shared" si="0"/>
        <v>6.2</v>
      </c>
    </row>
    <row r="5" spans="1:27" x14ac:dyDescent="0.4">
      <c r="A5" s="28" t="s">
        <v>41</v>
      </c>
      <c r="B5" s="19" t="s">
        <v>175</v>
      </c>
      <c r="C5" s="18" t="s">
        <v>43</v>
      </c>
      <c r="D5" s="18" t="s">
        <v>57</v>
      </c>
      <c r="E5" s="18" t="s">
        <v>168</v>
      </c>
      <c r="F5" s="18" t="s">
        <v>191</v>
      </c>
      <c r="G5" s="18" t="s">
        <v>179</v>
      </c>
      <c r="H5" s="14" t="s">
        <v>62</v>
      </c>
      <c r="I5" s="33" t="s">
        <v>176</v>
      </c>
      <c r="J5" s="33" t="s">
        <v>177</v>
      </c>
      <c r="K5" s="33" t="s">
        <v>44</v>
      </c>
      <c r="L5" s="33" t="s">
        <v>44</v>
      </c>
      <c r="M5" s="14" t="s">
        <v>195</v>
      </c>
      <c r="N5" s="14" t="s">
        <v>196</v>
      </c>
      <c r="O5" s="14" t="s">
        <v>1238</v>
      </c>
      <c r="P5" s="14" t="s">
        <v>1141</v>
      </c>
      <c r="Q5" s="14" t="s">
        <v>1121</v>
      </c>
      <c r="R5" s="14" t="s">
        <v>1121</v>
      </c>
      <c r="S5" s="14" t="s">
        <v>1121</v>
      </c>
      <c r="T5" s="14" t="s">
        <v>1121</v>
      </c>
      <c r="U5" s="14">
        <v>168</v>
      </c>
      <c r="V5" s="35">
        <v>0.9</v>
      </c>
      <c r="W5" s="14" t="s">
        <v>1249</v>
      </c>
      <c r="X5" s="14" t="s">
        <v>1250</v>
      </c>
      <c r="Y5" s="14">
        <v>5</v>
      </c>
      <c r="Z5" s="14">
        <v>2</v>
      </c>
      <c r="AA5" s="14">
        <f>SUM(Y5:Z5)</f>
        <v>7</v>
      </c>
    </row>
    <row r="6" spans="1:27" x14ac:dyDescent="0.4">
      <c r="A6" s="28" t="s">
        <v>41</v>
      </c>
      <c r="B6" s="19" t="s">
        <v>175</v>
      </c>
      <c r="C6" s="18" t="s">
        <v>43</v>
      </c>
      <c r="D6" s="18" t="s">
        <v>57</v>
      </c>
      <c r="E6" s="18" t="s">
        <v>168</v>
      </c>
      <c r="F6" s="18" t="s">
        <v>169</v>
      </c>
      <c r="G6" s="18" t="s">
        <v>179</v>
      </c>
      <c r="H6" s="14" t="s">
        <v>62</v>
      </c>
      <c r="I6" s="33" t="s">
        <v>176</v>
      </c>
      <c r="J6" s="33" t="s">
        <v>177</v>
      </c>
      <c r="K6" s="33" t="s">
        <v>44</v>
      </c>
      <c r="L6" s="33" t="s">
        <v>44</v>
      </c>
      <c r="M6" s="14" t="s">
        <v>180</v>
      </c>
      <c r="N6" s="14" t="s">
        <v>181</v>
      </c>
      <c r="O6" s="14" t="s">
        <v>1238</v>
      </c>
      <c r="P6" s="14" t="s">
        <v>1142</v>
      </c>
      <c r="Q6" s="14" t="s">
        <v>1121</v>
      </c>
      <c r="R6" s="14" t="s">
        <v>1121</v>
      </c>
      <c r="S6" s="14" t="s">
        <v>1121</v>
      </c>
      <c r="T6" s="14" t="s">
        <v>1121</v>
      </c>
      <c r="U6" s="14">
        <v>1001</v>
      </c>
      <c r="V6" s="35">
        <v>0.9</v>
      </c>
      <c r="W6" s="14" t="s">
        <v>1251</v>
      </c>
      <c r="X6" s="14" t="s">
        <v>1252</v>
      </c>
      <c r="Y6" s="14">
        <v>5</v>
      </c>
      <c r="Z6" s="14">
        <v>2</v>
      </c>
      <c r="AA6" s="14">
        <f t="shared" ref="AA6:AA7" si="1">SUM(Y6:Z6)</f>
        <v>7</v>
      </c>
    </row>
    <row r="7" spans="1:27" x14ac:dyDescent="0.4">
      <c r="A7" s="28" t="s">
        <v>41</v>
      </c>
      <c r="B7" s="19" t="s">
        <v>175</v>
      </c>
      <c r="C7" s="18" t="s">
        <v>43</v>
      </c>
      <c r="D7" s="18" t="s">
        <v>57</v>
      </c>
      <c r="E7" s="18" t="s">
        <v>168</v>
      </c>
      <c r="F7" s="18" t="s">
        <v>197</v>
      </c>
      <c r="G7" s="18" t="s">
        <v>179</v>
      </c>
      <c r="H7" s="14" t="s">
        <v>62</v>
      </c>
      <c r="I7" s="33" t="s">
        <v>176</v>
      </c>
      <c r="J7" s="33" t="s">
        <v>177</v>
      </c>
      <c r="K7" s="33" t="s">
        <v>44</v>
      </c>
      <c r="L7" s="33" t="s">
        <v>44</v>
      </c>
      <c r="M7" s="14" t="s">
        <v>201</v>
      </c>
      <c r="N7" s="14" t="s">
        <v>202</v>
      </c>
      <c r="O7" s="14" t="s">
        <v>1239</v>
      </c>
      <c r="P7" s="14" t="s">
        <v>1143</v>
      </c>
      <c r="Q7" s="14" t="s">
        <v>1121</v>
      </c>
      <c r="R7" s="14" t="s">
        <v>1121</v>
      </c>
      <c r="S7" s="14" t="s">
        <v>1121</v>
      </c>
      <c r="T7" s="14" t="s">
        <v>1121</v>
      </c>
      <c r="U7" s="14">
        <v>4849</v>
      </c>
      <c r="V7" s="35">
        <v>0.7</v>
      </c>
      <c r="W7" s="14" t="s">
        <v>1253</v>
      </c>
      <c r="X7" s="14" t="s">
        <v>1254</v>
      </c>
      <c r="Y7" s="14">
        <v>8</v>
      </c>
      <c r="Z7" s="14">
        <v>2</v>
      </c>
      <c r="AA7" s="14">
        <f t="shared" si="1"/>
        <v>10</v>
      </c>
    </row>
    <row r="8" spans="1:27" x14ac:dyDescent="0.4">
      <c r="A8" s="28" t="s">
        <v>41</v>
      </c>
      <c r="B8" s="15" t="s">
        <v>1123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 t="s">
        <v>1283</v>
      </c>
      <c r="P8" s="15"/>
      <c r="Q8" s="15"/>
      <c r="R8" s="15"/>
      <c r="S8" s="15"/>
      <c r="T8" s="15"/>
      <c r="U8" s="15">
        <v>6018</v>
      </c>
      <c r="V8" s="15"/>
      <c r="W8" s="15"/>
      <c r="X8" s="15"/>
      <c r="Y8" s="15">
        <f>SUM(Y5:Y7)</f>
        <v>18</v>
      </c>
      <c r="Z8" s="15">
        <f t="shared" ref="Z8:AA8" si="2">SUM(Z5:Z7)</f>
        <v>6</v>
      </c>
      <c r="AA8" s="15">
        <f t="shared" si="2"/>
        <v>24</v>
      </c>
    </row>
    <row r="9" spans="1:27" x14ac:dyDescent="0.4">
      <c r="A9" s="28" t="s">
        <v>41</v>
      </c>
      <c r="B9" s="19" t="s">
        <v>42</v>
      </c>
      <c r="C9" s="18" t="s">
        <v>43</v>
      </c>
      <c r="D9" s="18" t="s">
        <v>36</v>
      </c>
      <c r="E9" s="18" t="s">
        <v>29</v>
      </c>
      <c r="F9" s="18" t="s">
        <v>30</v>
      </c>
      <c r="G9" s="18" t="s">
        <v>49</v>
      </c>
      <c r="H9" s="14" t="s">
        <v>47</v>
      </c>
      <c r="I9" s="33" t="s">
        <v>45</v>
      </c>
      <c r="J9" s="33" t="s">
        <v>46</v>
      </c>
      <c r="K9" s="33" t="s">
        <v>44</v>
      </c>
      <c r="L9" s="33" t="s">
        <v>44</v>
      </c>
      <c r="M9" s="14" t="s">
        <v>50</v>
      </c>
      <c r="N9" s="14" t="s">
        <v>51</v>
      </c>
      <c r="O9" s="14" t="s">
        <v>1241</v>
      </c>
      <c r="P9" s="14" t="s">
        <v>1144</v>
      </c>
      <c r="Q9" s="14" t="s">
        <v>1121</v>
      </c>
      <c r="R9" s="14" t="s">
        <v>1121</v>
      </c>
      <c r="S9" s="14" t="s">
        <v>1121</v>
      </c>
      <c r="T9" s="14" t="s">
        <v>1121</v>
      </c>
      <c r="U9" s="14">
        <v>1</v>
      </c>
      <c r="V9" s="35">
        <v>0.1</v>
      </c>
      <c r="W9" s="14" t="s">
        <v>1255</v>
      </c>
      <c r="X9" s="14" t="s">
        <v>1256</v>
      </c>
      <c r="Y9" s="14">
        <v>1</v>
      </c>
      <c r="Z9" s="14">
        <v>0.5</v>
      </c>
      <c r="AA9" s="14">
        <f>SUM(Y9:Z9)</f>
        <v>1.5</v>
      </c>
    </row>
    <row r="10" spans="1:27" x14ac:dyDescent="0.4">
      <c r="A10" s="28" t="s">
        <v>41</v>
      </c>
      <c r="B10" s="19" t="s">
        <v>42</v>
      </c>
      <c r="C10" s="18" t="s">
        <v>43</v>
      </c>
      <c r="D10" s="18" t="s">
        <v>36</v>
      </c>
      <c r="E10" s="18" t="s">
        <v>321</v>
      </c>
      <c r="F10" s="18" t="s">
        <v>388</v>
      </c>
      <c r="G10" s="18" t="s">
        <v>49</v>
      </c>
      <c r="H10" s="14" t="s">
        <v>47</v>
      </c>
      <c r="I10" s="33" t="s">
        <v>45</v>
      </c>
      <c r="J10" s="33" t="s">
        <v>46</v>
      </c>
      <c r="K10" s="33" t="s">
        <v>44</v>
      </c>
      <c r="L10" s="33" t="s">
        <v>44</v>
      </c>
      <c r="M10" s="14" t="s">
        <v>392</v>
      </c>
      <c r="N10" s="14" t="s">
        <v>393</v>
      </c>
      <c r="O10" s="14" t="s">
        <v>1241</v>
      </c>
      <c r="P10" s="14" t="s">
        <v>1145</v>
      </c>
      <c r="Q10" s="14" t="s">
        <v>1121</v>
      </c>
      <c r="R10" s="14" t="s">
        <v>1121</v>
      </c>
      <c r="S10" s="14" t="s">
        <v>1121</v>
      </c>
      <c r="T10" s="14" t="s">
        <v>1121</v>
      </c>
      <c r="U10" s="14">
        <v>1</v>
      </c>
      <c r="V10" s="35">
        <v>0.1</v>
      </c>
      <c r="W10" s="14" t="s">
        <v>1257</v>
      </c>
      <c r="X10" s="14" t="s">
        <v>1258</v>
      </c>
      <c r="Y10" s="14">
        <v>1</v>
      </c>
      <c r="Z10" s="14">
        <v>0.5</v>
      </c>
      <c r="AA10" s="14">
        <f t="shared" ref="AA10:AA11" si="3">SUM(Y10:Z10)</f>
        <v>1.5</v>
      </c>
    </row>
    <row r="11" spans="1:27" x14ac:dyDescent="0.4">
      <c r="A11" s="28" t="s">
        <v>41</v>
      </c>
      <c r="B11" s="19" t="s">
        <v>42</v>
      </c>
      <c r="C11" s="18" t="s">
        <v>43</v>
      </c>
      <c r="D11" s="18" t="s">
        <v>57</v>
      </c>
      <c r="E11" s="18" t="s">
        <v>52</v>
      </c>
      <c r="F11" s="18" t="s">
        <v>53</v>
      </c>
      <c r="G11" s="18" t="s">
        <v>64</v>
      </c>
      <c r="H11" s="14" t="s">
        <v>62</v>
      </c>
      <c r="I11" s="33" t="s">
        <v>59</v>
      </c>
      <c r="J11" s="33" t="s">
        <v>61</v>
      </c>
      <c r="K11" s="33" t="s">
        <v>44</v>
      </c>
      <c r="L11" s="33" t="s">
        <v>60</v>
      </c>
      <c r="M11" s="14" t="s">
        <v>65</v>
      </c>
      <c r="N11" s="14" t="s">
        <v>66</v>
      </c>
      <c r="O11" s="14" t="s">
        <v>1239</v>
      </c>
      <c r="P11" s="14" t="s">
        <v>1146</v>
      </c>
      <c r="Q11" s="14" t="s">
        <v>1121</v>
      </c>
      <c r="R11" s="14" t="s">
        <v>1121</v>
      </c>
      <c r="S11" s="14" t="s">
        <v>1121</v>
      </c>
      <c r="T11" s="14" t="s">
        <v>1121</v>
      </c>
      <c r="U11" s="14">
        <v>1041</v>
      </c>
      <c r="V11" s="35">
        <v>0.8</v>
      </c>
      <c r="W11" s="14" t="s">
        <v>1259</v>
      </c>
      <c r="X11" s="14" t="s">
        <v>1260</v>
      </c>
      <c r="Y11" s="14">
        <v>4</v>
      </c>
      <c r="Z11" s="14">
        <v>2</v>
      </c>
      <c r="AA11" s="14">
        <f t="shared" si="3"/>
        <v>6</v>
      </c>
    </row>
    <row r="12" spans="1:27" x14ac:dyDescent="0.4">
      <c r="A12" s="28" t="s">
        <v>41</v>
      </c>
      <c r="B12" s="15" t="s">
        <v>1124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1284</v>
      </c>
      <c r="P12" s="15"/>
      <c r="Q12" s="15"/>
      <c r="R12" s="15"/>
      <c r="S12" s="15"/>
      <c r="T12" s="15"/>
      <c r="U12" s="15">
        <v>1043</v>
      </c>
      <c r="V12" s="15"/>
      <c r="W12" s="15"/>
      <c r="X12" s="15"/>
      <c r="Y12" s="15">
        <f>SUM(Y9:Y11)</f>
        <v>6</v>
      </c>
      <c r="Z12" s="15">
        <f t="shared" ref="Z12:AA27" si="4">SUM(Z9:Z11)</f>
        <v>3</v>
      </c>
      <c r="AA12" s="15">
        <f t="shared" si="4"/>
        <v>9</v>
      </c>
    </row>
    <row r="13" spans="1:27" x14ac:dyDescent="0.4">
      <c r="A13" s="28" t="s">
        <v>41</v>
      </c>
      <c r="B13" s="19" t="s">
        <v>211</v>
      </c>
      <c r="C13" s="18" t="s">
        <v>43</v>
      </c>
      <c r="D13" s="18" t="s">
        <v>57</v>
      </c>
      <c r="E13" s="18" t="s">
        <v>204</v>
      </c>
      <c r="F13" s="18" t="s">
        <v>231</v>
      </c>
      <c r="G13" s="18" t="s">
        <v>214</v>
      </c>
      <c r="H13" s="14" t="s">
        <v>62</v>
      </c>
      <c r="I13" s="33" t="s">
        <v>44</v>
      </c>
      <c r="J13" s="33" t="s">
        <v>44</v>
      </c>
      <c r="K13" s="33" t="s">
        <v>44</v>
      </c>
      <c r="L13" s="33" t="s">
        <v>44</v>
      </c>
      <c r="M13" s="14" t="s">
        <v>235</v>
      </c>
      <c r="N13" s="14" t="s">
        <v>236</v>
      </c>
      <c r="O13" s="14" t="s">
        <v>1238</v>
      </c>
      <c r="P13" s="14" t="s">
        <v>1147</v>
      </c>
      <c r="Q13" s="14" t="s">
        <v>1121</v>
      </c>
      <c r="R13" s="14" t="s">
        <v>1121</v>
      </c>
      <c r="S13" s="14" t="s">
        <v>1121</v>
      </c>
      <c r="T13" s="14" t="s">
        <v>1121</v>
      </c>
      <c r="U13" s="14">
        <v>7</v>
      </c>
      <c r="V13" s="35">
        <v>1</v>
      </c>
      <c r="W13" s="14" t="s">
        <v>1263</v>
      </c>
      <c r="X13" s="14" t="s">
        <v>1264</v>
      </c>
      <c r="Y13" s="14">
        <v>0.5</v>
      </c>
      <c r="Z13" s="14">
        <v>0.1</v>
      </c>
      <c r="AA13" s="14">
        <f>SUM(Y13:Z13)</f>
        <v>0.6</v>
      </c>
    </row>
    <row r="14" spans="1:27" x14ac:dyDescent="0.4">
      <c r="A14" s="28" t="s">
        <v>41</v>
      </c>
      <c r="B14" s="19" t="s">
        <v>211</v>
      </c>
      <c r="C14" s="18" t="s">
        <v>43</v>
      </c>
      <c r="D14" s="18" t="s">
        <v>57</v>
      </c>
      <c r="E14" s="18" t="s">
        <v>204</v>
      </c>
      <c r="F14" s="18" t="s">
        <v>205</v>
      </c>
      <c r="G14" s="18" t="s">
        <v>214</v>
      </c>
      <c r="H14" s="14" t="s">
        <v>62</v>
      </c>
      <c r="I14" s="33" t="s">
        <v>212</v>
      </c>
      <c r="J14" s="33" t="s">
        <v>44</v>
      </c>
      <c r="K14" s="33" t="s">
        <v>212</v>
      </c>
      <c r="L14" s="33" t="s">
        <v>44</v>
      </c>
      <c r="M14" s="14" t="s">
        <v>215</v>
      </c>
      <c r="N14" s="14" t="s">
        <v>216</v>
      </c>
      <c r="O14" s="14" t="s">
        <v>1238</v>
      </c>
      <c r="P14" s="14" t="s">
        <v>1148</v>
      </c>
      <c r="Q14" s="14" t="s">
        <v>1121</v>
      </c>
      <c r="R14" s="14" t="s">
        <v>1121</v>
      </c>
      <c r="S14" s="14" t="s">
        <v>1121</v>
      </c>
      <c r="T14" s="14" t="s">
        <v>1121</v>
      </c>
      <c r="U14" s="14">
        <v>25108</v>
      </c>
      <c r="V14" s="35">
        <v>0.95</v>
      </c>
      <c r="W14" s="14" t="s">
        <v>1261</v>
      </c>
      <c r="X14" s="14" t="s">
        <v>1262</v>
      </c>
      <c r="Y14" s="14">
        <v>5</v>
      </c>
      <c r="Z14" s="14">
        <v>2</v>
      </c>
      <c r="AA14" s="14">
        <f>SUM(Y14:Z14)</f>
        <v>7</v>
      </c>
    </row>
    <row r="15" spans="1:27" x14ac:dyDescent="0.4">
      <c r="A15" s="28" t="s">
        <v>41</v>
      </c>
      <c r="B15" s="15" t="s">
        <v>1125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 t="s">
        <v>1238</v>
      </c>
      <c r="P15" s="15"/>
      <c r="Q15" s="15"/>
      <c r="R15" s="15"/>
      <c r="S15" s="15"/>
      <c r="T15" s="15"/>
      <c r="U15" s="15">
        <v>25115</v>
      </c>
      <c r="V15" s="15"/>
      <c r="W15" s="15"/>
      <c r="X15" s="15"/>
      <c r="Y15" s="15">
        <f>SUM(Y13:Y14)</f>
        <v>5.5</v>
      </c>
      <c r="Z15" s="15">
        <f t="shared" ref="Z15:AA15" si="5">SUM(Z13:Z14)</f>
        <v>2.1</v>
      </c>
      <c r="AA15" s="15">
        <f>SUM(Y15:Z15)</f>
        <v>7.6</v>
      </c>
    </row>
    <row r="16" spans="1:27" x14ac:dyDescent="0.4">
      <c r="A16" s="28" t="s">
        <v>41</v>
      </c>
      <c r="B16" s="19" t="s">
        <v>115</v>
      </c>
      <c r="C16" s="18" t="s">
        <v>43</v>
      </c>
      <c r="D16" s="18" t="s">
        <v>90</v>
      </c>
      <c r="E16" s="18" t="s">
        <v>168</v>
      </c>
      <c r="F16" s="18" t="s">
        <v>182</v>
      </c>
      <c r="G16" s="18" t="s">
        <v>179</v>
      </c>
      <c r="H16" s="14" t="s">
        <v>62</v>
      </c>
      <c r="I16" s="33" t="s">
        <v>187</v>
      </c>
      <c r="J16" s="33" t="s">
        <v>188</v>
      </c>
      <c r="K16" s="33" t="s">
        <v>44</v>
      </c>
      <c r="L16" s="33" t="s">
        <v>44</v>
      </c>
      <c r="M16" s="14" t="s">
        <v>189</v>
      </c>
      <c r="N16" s="14" t="s">
        <v>190</v>
      </c>
      <c r="O16" s="14" t="s">
        <v>1238</v>
      </c>
      <c r="P16" s="14" t="s">
        <v>1149</v>
      </c>
      <c r="Q16" s="14" t="s">
        <v>1121</v>
      </c>
      <c r="R16" s="14" t="s">
        <v>1121</v>
      </c>
      <c r="S16" s="14" t="s">
        <v>1121</v>
      </c>
      <c r="T16" s="14" t="s">
        <v>1121</v>
      </c>
      <c r="U16" s="14">
        <v>917</v>
      </c>
      <c r="V16" s="35">
        <v>0.9</v>
      </c>
      <c r="W16" s="14" t="s">
        <v>1273</v>
      </c>
      <c r="X16" s="14" t="s">
        <v>1274</v>
      </c>
      <c r="Y16" s="14">
        <v>5</v>
      </c>
      <c r="Z16" s="14">
        <v>2</v>
      </c>
      <c r="AA16" s="14">
        <f t="shared" ref="AA15:AA78" si="6">SUM(Y16:Z16)</f>
        <v>7</v>
      </c>
    </row>
    <row r="17" spans="1:27" x14ac:dyDescent="0.4">
      <c r="A17" s="28" t="s">
        <v>41</v>
      </c>
      <c r="B17" s="19" t="s">
        <v>115</v>
      </c>
      <c r="C17" s="18" t="s">
        <v>43</v>
      </c>
      <c r="D17" s="18" t="s">
        <v>90</v>
      </c>
      <c r="E17" s="18" t="s">
        <v>145</v>
      </c>
      <c r="F17" s="18" t="s">
        <v>146</v>
      </c>
      <c r="G17" s="18" t="s">
        <v>154</v>
      </c>
      <c r="H17" s="14" t="s">
        <v>62</v>
      </c>
      <c r="I17" s="33" t="s">
        <v>152</v>
      </c>
      <c r="J17" s="33" t="s">
        <v>152</v>
      </c>
      <c r="K17" s="33" t="s">
        <v>44</v>
      </c>
      <c r="L17" s="33" t="s">
        <v>44</v>
      </c>
      <c r="M17" s="14" t="s">
        <v>155</v>
      </c>
      <c r="N17" s="14" t="s">
        <v>156</v>
      </c>
      <c r="O17" s="14" t="s">
        <v>1239</v>
      </c>
      <c r="P17" s="14" t="s">
        <v>1150</v>
      </c>
      <c r="Q17" s="14" t="s">
        <v>1121</v>
      </c>
      <c r="R17" s="14" t="s">
        <v>1121</v>
      </c>
      <c r="S17" s="14" t="s">
        <v>1121</v>
      </c>
      <c r="T17" s="14" t="s">
        <v>1121</v>
      </c>
      <c r="U17" s="14">
        <v>8</v>
      </c>
      <c r="V17" s="35">
        <v>0.7</v>
      </c>
      <c r="W17" s="14" t="s">
        <v>1271</v>
      </c>
      <c r="X17" s="14" t="s">
        <v>1272</v>
      </c>
      <c r="Y17" s="14">
        <v>2.5</v>
      </c>
      <c r="Z17" s="14">
        <v>0.4</v>
      </c>
      <c r="AA17" s="14">
        <f t="shared" si="6"/>
        <v>2.9</v>
      </c>
    </row>
    <row r="18" spans="1:27" x14ac:dyDescent="0.4">
      <c r="A18" s="28" t="s">
        <v>41</v>
      </c>
      <c r="B18" s="19" t="s">
        <v>115</v>
      </c>
      <c r="C18" s="18" t="s">
        <v>43</v>
      </c>
      <c r="D18" s="18" t="s">
        <v>90</v>
      </c>
      <c r="E18" s="18" t="s">
        <v>276</v>
      </c>
      <c r="F18" s="18" t="s">
        <v>277</v>
      </c>
      <c r="G18" s="18" t="s">
        <v>284</v>
      </c>
      <c r="H18" s="14" t="s">
        <v>119</v>
      </c>
      <c r="I18" s="33" t="s">
        <v>282</v>
      </c>
      <c r="J18" s="33" t="s">
        <v>283</v>
      </c>
      <c r="K18" s="33" t="s">
        <v>44</v>
      </c>
      <c r="L18" s="33" t="s">
        <v>44</v>
      </c>
      <c r="M18" s="14" t="s">
        <v>285</v>
      </c>
      <c r="N18" s="14" t="s">
        <v>286</v>
      </c>
      <c r="O18" s="14" t="s">
        <v>1240</v>
      </c>
      <c r="P18" s="14" t="s">
        <v>1151</v>
      </c>
      <c r="Q18" s="14" t="s">
        <v>1121</v>
      </c>
      <c r="R18" s="14" t="s">
        <v>1121</v>
      </c>
      <c r="S18" s="14" t="s">
        <v>1121</v>
      </c>
      <c r="T18" s="14" t="s">
        <v>1121</v>
      </c>
      <c r="U18" s="14">
        <v>9</v>
      </c>
      <c r="V18" s="35">
        <v>0.3</v>
      </c>
      <c r="W18" s="14" t="s">
        <v>1275</v>
      </c>
      <c r="X18" s="14" t="s">
        <v>1276</v>
      </c>
      <c r="Y18" s="14">
        <v>0.5</v>
      </c>
      <c r="Z18" s="14">
        <v>0.5</v>
      </c>
      <c r="AA18" s="14">
        <f t="shared" si="6"/>
        <v>1</v>
      </c>
    </row>
    <row r="19" spans="1:27" x14ac:dyDescent="0.4">
      <c r="A19" s="28" t="s">
        <v>41</v>
      </c>
      <c r="B19" s="19" t="s">
        <v>115</v>
      </c>
      <c r="C19" s="18" t="s">
        <v>43</v>
      </c>
      <c r="D19" s="18" t="s">
        <v>90</v>
      </c>
      <c r="E19" s="18" t="s">
        <v>108</v>
      </c>
      <c r="F19" s="18" t="s">
        <v>109</v>
      </c>
      <c r="G19" s="18" t="s">
        <v>120</v>
      </c>
      <c r="H19" s="14" t="s">
        <v>119</v>
      </c>
      <c r="I19" s="33" t="s">
        <v>117</v>
      </c>
      <c r="J19" s="33" t="s">
        <v>118</v>
      </c>
      <c r="K19" s="33" t="s">
        <v>116</v>
      </c>
      <c r="L19" s="33" t="s">
        <v>44</v>
      </c>
      <c r="M19" s="14" t="s">
        <v>121</v>
      </c>
      <c r="N19" s="14" t="s">
        <v>122</v>
      </c>
      <c r="O19" s="14" t="s">
        <v>1239</v>
      </c>
      <c r="P19" s="14" t="s">
        <v>1152</v>
      </c>
      <c r="Q19" s="14" t="s">
        <v>1121</v>
      </c>
      <c r="R19" s="14" t="s">
        <v>1121</v>
      </c>
      <c r="S19" s="14" t="s">
        <v>1121</v>
      </c>
      <c r="T19" s="14" t="s">
        <v>1121</v>
      </c>
      <c r="U19" s="14">
        <v>224</v>
      </c>
      <c r="V19" s="35">
        <v>0.6</v>
      </c>
      <c r="W19" s="14" t="s">
        <v>1265</v>
      </c>
      <c r="X19" s="14" t="s">
        <v>1266</v>
      </c>
      <c r="Y19" s="14">
        <v>4</v>
      </c>
      <c r="Z19" s="14">
        <v>2</v>
      </c>
      <c r="AA19" s="14">
        <f t="shared" si="6"/>
        <v>6</v>
      </c>
    </row>
    <row r="20" spans="1:27" x14ac:dyDescent="0.4">
      <c r="A20" s="28" t="s">
        <v>41</v>
      </c>
      <c r="B20" s="19" t="s">
        <v>115</v>
      </c>
      <c r="C20" s="18" t="s">
        <v>43</v>
      </c>
      <c r="D20" s="18" t="s">
        <v>90</v>
      </c>
      <c r="E20" s="18" t="s">
        <v>108</v>
      </c>
      <c r="F20" s="18" t="s">
        <v>123</v>
      </c>
      <c r="G20" s="18" t="s">
        <v>120</v>
      </c>
      <c r="H20" s="14" t="s">
        <v>119</v>
      </c>
      <c r="I20" s="33" t="s">
        <v>127</v>
      </c>
      <c r="J20" s="33" t="s">
        <v>118</v>
      </c>
      <c r="K20" s="33" t="s">
        <v>126</v>
      </c>
      <c r="L20" s="33" t="s">
        <v>44</v>
      </c>
      <c r="M20" s="14" t="s">
        <v>128</v>
      </c>
      <c r="N20" s="14" t="s">
        <v>129</v>
      </c>
      <c r="O20" s="14" t="s">
        <v>1239</v>
      </c>
      <c r="P20" s="14" t="s">
        <v>1153</v>
      </c>
      <c r="Q20" s="14" t="s">
        <v>1121</v>
      </c>
      <c r="R20" s="14" t="s">
        <v>1121</v>
      </c>
      <c r="S20" s="14" t="s">
        <v>1121</v>
      </c>
      <c r="T20" s="14" t="s">
        <v>1121</v>
      </c>
      <c r="U20" s="14">
        <v>13</v>
      </c>
      <c r="V20" s="35">
        <v>0.6</v>
      </c>
      <c r="W20" s="14" t="s">
        <v>1267</v>
      </c>
      <c r="X20" s="14" t="s">
        <v>1268</v>
      </c>
      <c r="Y20" s="14">
        <v>0.1</v>
      </c>
      <c r="Z20" s="14">
        <v>0.5</v>
      </c>
      <c r="AA20" s="14">
        <f t="shared" si="6"/>
        <v>0.6</v>
      </c>
    </row>
    <row r="21" spans="1:27" x14ac:dyDescent="0.4">
      <c r="A21" s="28" t="s">
        <v>41</v>
      </c>
      <c r="B21" s="19" t="s">
        <v>115</v>
      </c>
      <c r="C21" s="18" t="s">
        <v>43</v>
      </c>
      <c r="D21" s="18" t="s">
        <v>90</v>
      </c>
      <c r="E21" s="18" t="s">
        <v>130</v>
      </c>
      <c r="F21" s="18" t="s">
        <v>131</v>
      </c>
      <c r="G21" s="18" t="s">
        <v>136</v>
      </c>
      <c r="H21" s="14" t="s">
        <v>62</v>
      </c>
      <c r="I21" s="33" t="s">
        <v>135</v>
      </c>
      <c r="J21" s="33" t="s">
        <v>135</v>
      </c>
      <c r="K21" s="33" t="s">
        <v>126</v>
      </c>
      <c r="L21" s="33" t="s">
        <v>44</v>
      </c>
      <c r="M21" s="14" t="s">
        <v>137</v>
      </c>
      <c r="N21" s="14" t="s">
        <v>138</v>
      </c>
      <c r="O21" s="14" t="s">
        <v>1239</v>
      </c>
      <c r="P21" s="14" t="s">
        <v>1154</v>
      </c>
      <c r="Q21" s="14" t="s">
        <v>1121</v>
      </c>
      <c r="R21" s="14" t="s">
        <v>1121</v>
      </c>
      <c r="S21" s="14" t="s">
        <v>1121</v>
      </c>
      <c r="T21" s="14" t="s">
        <v>1121</v>
      </c>
      <c r="U21" s="14">
        <v>3</v>
      </c>
      <c r="V21" s="35">
        <v>0.8</v>
      </c>
      <c r="W21" s="14" t="s">
        <v>1269</v>
      </c>
      <c r="X21" s="14" t="s">
        <v>1270</v>
      </c>
      <c r="Y21" s="14">
        <v>0.1</v>
      </c>
      <c r="Z21" s="14">
        <v>0.3</v>
      </c>
      <c r="AA21" s="14">
        <f t="shared" si="6"/>
        <v>0.4</v>
      </c>
    </row>
    <row r="22" spans="1:27" x14ac:dyDescent="0.4">
      <c r="A22" s="28" t="s">
        <v>41</v>
      </c>
      <c r="B22" s="19" t="s">
        <v>115</v>
      </c>
      <c r="C22" s="18" t="s">
        <v>43</v>
      </c>
      <c r="D22" s="18" t="s">
        <v>90</v>
      </c>
      <c r="E22" s="18" t="s">
        <v>328</v>
      </c>
      <c r="F22" s="18" t="s">
        <v>329</v>
      </c>
      <c r="G22" s="18" t="s">
        <v>284</v>
      </c>
      <c r="H22" s="14" t="s">
        <v>119</v>
      </c>
      <c r="I22" s="33" t="s">
        <v>282</v>
      </c>
      <c r="J22" s="33" t="s">
        <v>283</v>
      </c>
      <c r="K22" s="33" t="s">
        <v>44</v>
      </c>
      <c r="L22" s="33" t="s">
        <v>44</v>
      </c>
      <c r="M22" s="14" t="s">
        <v>333</v>
      </c>
      <c r="N22" s="14" t="s">
        <v>334</v>
      </c>
      <c r="O22" s="14" t="s">
        <v>1240</v>
      </c>
      <c r="P22" s="14" t="s">
        <v>1155</v>
      </c>
      <c r="Q22" s="14" t="s">
        <v>1121</v>
      </c>
      <c r="R22" s="14" t="s">
        <v>1121</v>
      </c>
      <c r="S22" s="14" t="s">
        <v>1121</v>
      </c>
      <c r="T22" s="14" t="s">
        <v>1121</v>
      </c>
      <c r="U22" s="14">
        <v>9</v>
      </c>
      <c r="V22" s="35">
        <v>0.3</v>
      </c>
      <c r="W22" s="14" t="s">
        <v>1277</v>
      </c>
      <c r="X22" s="14" t="s">
        <v>1278</v>
      </c>
      <c r="Y22" s="14">
        <v>0.5</v>
      </c>
      <c r="Z22" s="14">
        <v>0.5</v>
      </c>
      <c r="AA22" s="14">
        <f t="shared" si="6"/>
        <v>1</v>
      </c>
    </row>
    <row r="23" spans="1:27" x14ac:dyDescent="0.4">
      <c r="A23" s="28" t="s">
        <v>41</v>
      </c>
      <c r="B23" s="15" t="s">
        <v>1126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 t="s">
        <v>1285</v>
      </c>
      <c r="P23" s="15"/>
      <c r="Q23" s="15"/>
      <c r="R23" s="15"/>
      <c r="S23" s="15"/>
      <c r="T23" s="15"/>
      <c r="U23" s="15">
        <v>1183</v>
      </c>
      <c r="V23" s="15"/>
      <c r="W23" s="15"/>
      <c r="X23" s="15"/>
      <c r="Y23" s="15">
        <v>7.5</v>
      </c>
      <c r="Z23" s="15">
        <v>3</v>
      </c>
      <c r="AA23" s="15">
        <f t="shared" si="6"/>
        <v>10.5</v>
      </c>
    </row>
    <row r="24" spans="1:27" x14ac:dyDescent="0.4">
      <c r="A24" s="28" t="s">
        <v>41</v>
      </c>
      <c r="B24" s="19" t="s">
        <v>369</v>
      </c>
      <c r="C24" s="18" t="s">
        <v>43</v>
      </c>
      <c r="D24" s="18" t="s">
        <v>367</v>
      </c>
      <c r="E24" s="18" t="s">
        <v>362</v>
      </c>
      <c r="F24" s="18" t="s">
        <v>394</v>
      </c>
      <c r="G24" s="18" t="s">
        <v>374</v>
      </c>
      <c r="H24" s="14" t="s">
        <v>62</v>
      </c>
      <c r="I24" s="33" t="s">
        <v>397</v>
      </c>
      <c r="J24" s="33" t="s">
        <v>372</v>
      </c>
      <c r="K24" s="33" t="s">
        <v>370</v>
      </c>
      <c r="L24" s="33" t="s">
        <v>60</v>
      </c>
      <c r="M24" s="14" t="s">
        <v>398</v>
      </c>
      <c r="N24" s="14" t="s">
        <v>399</v>
      </c>
      <c r="O24" s="14" t="s">
        <v>1239</v>
      </c>
      <c r="P24" s="14" t="s">
        <v>1156</v>
      </c>
      <c r="Q24" s="14" t="s">
        <v>1121</v>
      </c>
      <c r="R24" s="14" t="s">
        <v>1121</v>
      </c>
      <c r="S24" s="14" t="s">
        <v>1121</v>
      </c>
      <c r="T24" s="14" t="s">
        <v>1121</v>
      </c>
      <c r="U24" s="14">
        <v>160</v>
      </c>
      <c r="V24" s="35">
        <v>0.8</v>
      </c>
      <c r="W24" s="14" t="s">
        <v>1279</v>
      </c>
      <c r="X24" s="14" t="s">
        <v>1280</v>
      </c>
      <c r="Y24" s="14">
        <v>4</v>
      </c>
      <c r="Z24" s="14">
        <v>2</v>
      </c>
      <c r="AA24" s="14">
        <f t="shared" si="6"/>
        <v>6</v>
      </c>
    </row>
    <row r="25" spans="1:27" x14ac:dyDescent="0.4">
      <c r="A25" s="28" t="s">
        <v>41</v>
      </c>
      <c r="B25" s="19" t="s">
        <v>369</v>
      </c>
      <c r="C25" s="18" t="s">
        <v>43</v>
      </c>
      <c r="D25" s="18" t="s">
        <v>367</v>
      </c>
      <c r="E25" s="18" t="s">
        <v>362</v>
      </c>
      <c r="F25" s="18" t="s">
        <v>363</v>
      </c>
      <c r="G25" s="18" t="s">
        <v>374</v>
      </c>
      <c r="H25" s="14" t="s">
        <v>62</v>
      </c>
      <c r="I25" s="33" t="s">
        <v>371</v>
      </c>
      <c r="J25" s="33" t="s">
        <v>372</v>
      </c>
      <c r="K25" s="33" t="s">
        <v>370</v>
      </c>
      <c r="L25" s="33" t="s">
        <v>60</v>
      </c>
      <c r="M25" s="14" t="s">
        <v>375</v>
      </c>
      <c r="N25" s="14" t="s">
        <v>376</v>
      </c>
      <c r="O25" s="14" t="s">
        <v>1239</v>
      </c>
      <c r="P25" s="14" t="s">
        <v>1157</v>
      </c>
      <c r="Q25" s="14" t="s">
        <v>1121</v>
      </c>
      <c r="R25" s="14" t="s">
        <v>1121</v>
      </c>
      <c r="S25" s="14" t="s">
        <v>1121</v>
      </c>
      <c r="T25" s="14" t="s">
        <v>1121</v>
      </c>
      <c r="U25" s="14">
        <v>179</v>
      </c>
      <c r="V25" s="35">
        <v>0.8</v>
      </c>
      <c r="W25" s="14" t="s">
        <v>1281</v>
      </c>
      <c r="X25" s="14" t="s">
        <v>1282</v>
      </c>
      <c r="Y25" s="14">
        <v>4</v>
      </c>
      <c r="Z25" s="14">
        <v>2</v>
      </c>
      <c r="AA25" s="14">
        <f t="shared" si="6"/>
        <v>6</v>
      </c>
    </row>
    <row r="26" spans="1:27" x14ac:dyDescent="0.4">
      <c r="A26" s="28" t="s">
        <v>41</v>
      </c>
      <c r="B26" s="15" t="s">
        <v>1127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 t="s">
        <v>1283</v>
      </c>
      <c r="P26" s="15"/>
      <c r="Q26" s="15"/>
      <c r="R26" s="15"/>
      <c r="S26" s="15"/>
      <c r="T26" s="15"/>
      <c r="U26" s="15">
        <v>339</v>
      </c>
      <c r="V26" s="15"/>
      <c r="W26" s="15"/>
      <c r="X26" s="15"/>
      <c r="Y26" s="15">
        <v>0.8</v>
      </c>
      <c r="Z26" s="15">
        <v>0.6</v>
      </c>
      <c r="AA26" s="15">
        <f t="shared" si="6"/>
        <v>1.4</v>
      </c>
    </row>
    <row r="27" spans="1:27" x14ac:dyDescent="0.4">
      <c r="A27" s="28" t="s">
        <v>41</v>
      </c>
      <c r="B27" s="19" t="s">
        <v>522</v>
      </c>
      <c r="C27" s="18" t="s">
        <v>43</v>
      </c>
      <c r="D27" s="18" t="s">
        <v>869</v>
      </c>
      <c r="E27" s="18" t="s">
        <v>576</v>
      </c>
      <c r="F27" s="18" t="s">
        <v>865</v>
      </c>
      <c r="G27" s="18" t="s">
        <v>872</v>
      </c>
      <c r="H27" s="14" t="s">
        <v>62</v>
      </c>
      <c r="I27" s="33" t="s">
        <v>44</v>
      </c>
      <c r="J27" s="33" t="s">
        <v>44</v>
      </c>
      <c r="K27" s="33" t="s">
        <v>44</v>
      </c>
      <c r="L27" s="33" t="s">
        <v>44</v>
      </c>
      <c r="M27" s="14" t="s">
        <v>873</v>
      </c>
      <c r="N27" s="14" t="s">
        <v>874</v>
      </c>
      <c r="O27" s="14"/>
      <c r="P27" s="14" t="s">
        <v>1158</v>
      </c>
      <c r="Q27" s="14"/>
      <c r="R27" s="14"/>
      <c r="S27" s="14"/>
      <c r="T27" s="14"/>
      <c r="U27" s="14">
        <v>2</v>
      </c>
      <c r="V27" s="35"/>
      <c r="W27" s="14"/>
      <c r="X27" s="14"/>
      <c r="Y27" s="14"/>
      <c r="Z27" s="14"/>
      <c r="AA27" s="14">
        <f t="shared" si="6"/>
        <v>0</v>
      </c>
    </row>
    <row r="28" spans="1:27" x14ac:dyDescent="0.4">
      <c r="A28" s="28" t="s">
        <v>41</v>
      </c>
      <c r="B28" s="19" t="s">
        <v>522</v>
      </c>
      <c r="C28" s="18" t="s">
        <v>43</v>
      </c>
      <c r="D28" s="18" t="s">
        <v>520</v>
      </c>
      <c r="E28" s="18" t="s">
        <v>510</v>
      </c>
      <c r="F28" s="18" t="s">
        <v>516</v>
      </c>
      <c r="G28" s="18" t="s">
        <v>528</v>
      </c>
      <c r="H28" s="14" t="s">
        <v>119</v>
      </c>
      <c r="I28" s="33" t="s">
        <v>524</v>
      </c>
      <c r="J28" s="33" t="s">
        <v>526</v>
      </c>
      <c r="K28" s="33" t="s">
        <v>523</v>
      </c>
      <c r="L28" s="33" t="s">
        <v>525</v>
      </c>
      <c r="M28" s="14" t="s">
        <v>529</v>
      </c>
      <c r="N28" s="14" t="s">
        <v>530</v>
      </c>
      <c r="O28" s="14"/>
      <c r="P28" s="14" t="s">
        <v>1159</v>
      </c>
      <c r="Q28" s="14" t="s">
        <v>1104</v>
      </c>
      <c r="R28" s="14" t="s">
        <v>1133</v>
      </c>
      <c r="S28" s="14" t="s">
        <v>1121</v>
      </c>
      <c r="T28" s="14" t="s">
        <v>1106</v>
      </c>
      <c r="U28" s="14">
        <v>1</v>
      </c>
      <c r="V28" s="35"/>
      <c r="W28" s="14"/>
      <c r="X28" s="14"/>
      <c r="Y28" s="14"/>
      <c r="Z28" s="14"/>
      <c r="AA28" s="14">
        <f t="shared" si="6"/>
        <v>0</v>
      </c>
    </row>
    <row r="29" spans="1:27" x14ac:dyDescent="0.4">
      <c r="A29" s="28" t="s">
        <v>41</v>
      </c>
      <c r="B29" s="19" t="s">
        <v>522</v>
      </c>
      <c r="C29" s="18" t="s">
        <v>43</v>
      </c>
      <c r="D29" s="18" t="s">
        <v>520</v>
      </c>
      <c r="E29" s="18" t="s">
        <v>510</v>
      </c>
      <c r="F29" s="18" t="s">
        <v>582</v>
      </c>
      <c r="G29" s="18" t="s">
        <v>528</v>
      </c>
      <c r="H29" s="14" t="s">
        <v>119</v>
      </c>
      <c r="I29" s="33" t="s">
        <v>585</v>
      </c>
      <c r="J29" s="33" t="s">
        <v>586</v>
      </c>
      <c r="K29" s="33" t="s">
        <v>584</v>
      </c>
      <c r="L29" s="33" t="s">
        <v>44</v>
      </c>
      <c r="M29" s="14" t="s">
        <v>587</v>
      </c>
      <c r="N29" s="14" t="s">
        <v>588</v>
      </c>
      <c r="O29" s="14"/>
      <c r="P29" s="14" t="s">
        <v>1160</v>
      </c>
      <c r="Q29" s="14" t="s">
        <v>1104</v>
      </c>
      <c r="R29" s="14" t="s">
        <v>1133</v>
      </c>
      <c r="S29" s="14" t="s">
        <v>1121</v>
      </c>
      <c r="T29" s="14" t="s">
        <v>1106</v>
      </c>
      <c r="U29" s="14">
        <v>1</v>
      </c>
      <c r="V29" s="35"/>
      <c r="W29" s="14"/>
      <c r="X29" s="14"/>
      <c r="Y29" s="14"/>
      <c r="Z29" s="14"/>
      <c r="AA29" s="14">
        <f t="shared" si="6"/>
        <v>0</v>
      </c>
    </row>
    <row r="30" spans="1:27" x14ac:dyDescent="0.4">
      <c r="A30" s="28" t="s">
        <v>41</v>
      </c>
      <c r="B30" s="19" t="s">
        <v>522</v>
      </c>
      <c r="C30" s="18" t="s">
        <v>43</v>
      </c>
      <c r="D30" s="18" t="s">
        <v>520</v>
      </c>
      <c r="E30" s="18" t="s">
        <v>442</v>
      </c>
      <c r="F30" s="18" t="s">
        <v>878</v>
      </c>
      <c r="G30" s="18" t="s">
        <v>882</v>
      </c>
      <c r="H30" s="14" t="s">
        <v>47</v>
      </c>
      <c r="I30" s="33" t="s">
        <v>880</v>
      </c>
      <c r="J30" s="33" t="s">
        <v>881</v>
      </c>
      <c r="K30" s="33" t="s">
        <v>431</v>
      </c>
      <c r="L30" s="33" t="s">
        <v>44</v>
      </c>
      <c r="M30" s="14" t="s">
        <v>883</v>
      </c>
      <c r="N30" s="14" t="s">
        <v>884</v>
      </c>
      <c r="O30" s="14"/>
      <c r="P30" s="14" t="s">
        <v>1161</v>
      </c>
      <c r="Q30" s="14" t="s">
        <v>1104</v>
      </c>
      <c r="R30" s="14" t="s">
        <v>1133</v>
      </c>
      <c r="S30" s="14" t="s">
        <v>1121</v>
      </c>
      <c r="T30" s="14" t="s">
        <v>1106</v>
      </c>
      <c r="U30" s="14">
        <v>2521</v>
      </c>
      <c r="V30" s="35"/>
      <c r="W30" s="14"/>
      <c r="X30" s="14"/>
      <c r="Y30" s="14"/>
      <c r="Z30" s="14"/>
      <c r="AA30" s="14">
        <f t="shared" si="6"/>
        <v>0</v>
      </c>
    </row>
    <row r="31" spans="1:27" x14ac:dyDescent="0.4">
      <c r="A31" s="28" t="s">
        <v>41</v>
      </c>
      <c r="B31" s="19" t="s">
        <v>522</v>
      </c>
      <c r="C31" s="18" t="s">
        <v>43</v>
      </c>
      <c r="D31" s="18" t="s">
        <v>520</v>
      </c>
      <c r="E31" s="18" t="s">
        <v>766</v>
      </c>
      <c r="F31" s="18" t="s">
        <v>1083</v>
      </c>
      <c r="G31" s="18" t="s">
        <v>1087</v>
      </c>
      <c r="H31" s="14" t="s">
        <v>119</v>
      </c>
      <c r="I31" s="33" t="s">
        <v>1085</v>
      </c>
      <c r="J31" s="33" t="s">
        <v>1086</v>
      </c>
      <c r="K31" s="33" t="s">
        <v>1084</v>
      </c>
      <c r="L31" s="33" t="s">
        <v>44</v>
      </c>
      <c r="M31" s="14" t="s">
        <v>1088</v>
      </c>
      <c r="N31" s="14" t="s">
        <v>1089</v>
      </c>
      <c r="O31" s="14"/>
      <c r="P31" s="14" t="s">
        <v>1162</v>
      </c>
      <c r="Q31" s="14" t="s">
        <v>1104</v>
      </c>
      <c r="R31" s="14" t="s">
        <v>1133</v>
      </c>
      <c r="S31" s="14" t="s">
        <v>1121</v>
      </c>
      <c r="T31" s="14" t="s">
        <v>1106</v>
      </c>
      <c r="U31" s="14">
        <v>25</v>
      </c>
      <c r="V31" s="35"/>
      <c r="W31" s="14"/>
      <c r="X31" s="14"/>
      <c r="Y31" s="14"/>
      <c r="Z31" s="14"/>
      <c r="AA31" s="14">
        <f t="shared" si="6"/>
        <v>0</v>
      </c>
    </row>
    <row r="32" spans="1:27" x14ac:dyDescent="0.4">
      <c r="A32" s="28" t="s">
        <v>41</v>
      </c>
      <c r="B32" s="19" t="s">
        <v>522</v>
      </c>
      <c r="C32" s="18" t="s">
        <v>43</v>
      </c>
      <c r="D32" s="18" t="s">
        <v>955</v>
      </c>
      <c r="E32" s="18" t="s">
        <v>766</v>
      </c>
      <c r="F32" s="18" t="s">
        <v>1054</v>
      </c>
      <c r="G32" s="18" t="s">
        <v>627</v>
      </c>
      <c r="H32" s="14" t="s">
        <v>119</v>
      </c>
      <c r="I32" s="33" t="s">
        <v>1056</v>
      </c>
      <c r="J32" s="33" t="s">
        <v>1057</v>
      </c>
      <c r="K32" s="33" t="s">
        <v>44</v>
      </c>
      <c r="L32" s="33" t="s">
        <v>44</v>
      </c>
      <c r="M32" s="14" t="s">
        <v>1058</v>
      </c>
      <c r="N32" s="14" t="s">
        <v>1059</v>
      </c>
      <c r="O32" s="14"/>
      <c r="P32" s="14" t="s">
        <v>1163</v>
      </c>
      <c r="Q32" s="14" t="s">
        <v>1104</v>
      </c>
      <c r="R32" s="14" t="s">
        <v>1133</v>
      </c>
      <c r="S32" s="14" t="s">
        <v>1121</v>
      </c>
      <c r="T32" s="14" t="s">
        <v>1106</v>
      </c>
      <c r="U32" s="14">
        <v>14</v>
      </c>
      <c r="V32" s="35"/>
      <c r="W32" s="14"/>
      <c r="X32" s="14"/>
      <c r="Y32" s="14"/>
      <c r="Z32" s="14"/>
      <c r="AA32" s="14">
        <f t="shared" si="6"/>
        <v>0</v>
      </c>
    </row>
    <row r="33" spans="1:27" x14ac:dyDescent="0.4">
      <c r="A33" s="28" t="s">
        <v>41</v>
      </c>
      <c r="B33" s="19" t="s">
        <v>522</v>
      </c>
      <c r="C33" s="18" t="s">
        <v>43</v>
      </c>
      <c r="D33" s="18" t="s">
        <v>955</v>
      </c>
      <c r="E33" s="18" t="s">
        <v>766</v>
      </c>
      <c r="F33" s="18" t="s">
        <v>1042</v>
      </c>
      <c r="G33" s="18" t="s">
        <v>627</v>
      </c>
      <c r="H33" s="14" t="s">
        <v>119</v>
      </c>
      <c r="I33" s="33" t="s">
        <v>1044</v>
      </c>
      <c r="J33" s="33" t="s">
        <v>1045</v>
      </c>
      <c r="K33" s="33" t="s">
        <v>44</v>
      </c>
      <c r="L33" s="33" t="s">
        <v>44</v>
      </c>
      <c r="M33" s="14" t="s">
        <v>1046</v>
      </c>
      <c r="N33" s="14" t="s">
        <v>1047</v>
      </c>
      <c r="O33" s="14"/>
      <c r="P33" s="14" t="s">
        <v>1164</v>
      </c>
      <c r="Q33" s="14" t="s">
        <v>1104</v>
      </c>
      <c r="R33" s="14" t="s">
        <v>1133</v>
      </c>
      <c r="S33" s="14" t="s">
        <v>1121</v>
      </c>
      <c r="T33" s="14" t="s">
        <v>1106</v>
      </c>
      <c r="U33" s="14">
        <v>14</v>
      </c>
      <c r="V33" s="35"/>
      <c r="W33" s="14"/>
      <c r="X33" s="14"/>
      <c r="Y33" s="14"/>
      <c r="Z33" s="14"/>
      <c r="AA33" s="14">
        <f t="shared" si="6"/>
        <v>0</v>
      </c>
    </row>
    <row r="34" spans="1:27" x14ac:dyDescent="0.4">
      <c r="A34" s="28" t="s">
        <v>41</v>
      </c>
      <c r="B34" s="19" t="s">
        <v>522</v>
      </c>
      <c r="C34" s="18" t="s">
        <v>43</v>
      </c>
      <c r="D34" s="18" t="s">
        <v>955</v>
      </c>
      <c r="E34" s="18" t="s">
        <v>766</v>
      </c>
      <c r="F34" s="18" t="s">
        <v>1048</v>
      </c>
      <c r="G34" s="18" t="s">
        <v>627</v>
      </c>
      <c r="H34" s="14" t="s">
        <v>47</v>
      </c>
      <c r="I34" s="33" t="s">
        <v>1050</v>
      </c>
      <c r="J34" s="33" t="s">
        <v>1051</v>
      </c>
      <c r="K34" s="33" t="s">
        <v>44</v>
      </c>
      <c r="L34" s="33" t="s">
        <v>44</v>
      </c>
      <c r="M34" s="14" t="s">
        <v>1052</v>
      </c>
      <c r="N34" s="14" t="s">
        <v>1053</v>
      </c>
      <c r="O34" s="14"/>
      <c r="P34" s="14" t="s">
        <v>1165</v>
      </c>
      <c r="Q34" s="14" t="s">
        <v>1104</v>
      </c>
      <c r="R34" s="14" t="s">
        <v>1133</v>
      </c>
      <c r="S34" s="14" t="s">
        <v>1121</v>
      </c>
      <c r="T34" s="14" t="s">
        <v>1106</v>
      </c>
      <c r="U34" s="14">
        <v>14</v>
      </c>
      <c r="V34" s="35"/>
      <c r="W34" s="14"/>
      <c r="X34" s="14"/>
      <c r="Y34" s="14"/>
      <c r="Z34" s="14"/>
      <c r="AA34" s="14">
        <f t="shared" si="6"/>
        <v>0</v>
      </c>
    </row>
    <row r="35" spans="1:27" x14ac:dyDescent="0.4">
      <c r="A35" s="28" t="s">
        <v>41</v>
      </c>
      <c r="B35" s="19" t="s">
        <v>522</v>
      </c>
      <c r="C35" s="18" t="s">
        <v>43</v>
      </c>
      <c r="D35" s="18" t="s">
        <v>955</v>
      </c>
      <c r="E35" s="18" t="s">
        <v>766</v>
      </c>
      <c r="F35" s="18" t="s">
        <v>1060</v>
      </c>
      <c r="G35" s="18" t="s">
        <v>627</v>
      </c>
      <c r="H35" s="14" t="s">
        <v>119</v>
      </c>
      <c r="I35" s="33" t="s">
        <v>1062</v>
      </c>
      <c r="J35" s="33" t="s">
        <v>625</v>
      </c>
      <c r="K35" s="33" t="s">
        <v>44</v>
      </c>
      <c r="L35" s="33" t="s">
        <v>44</v>
      </c>
      <c r="M35" s="14" t="s">
        <v>1063</v>
      </c>
      <c r="N35" s="14" t="s">
        <v>1064</v>
      </c>
      <c r="O35" s="14"/>
      <c r="P35" s="14" t="s">
        <v>1166</v>
      </c>
      <c r="Q35" s="14" t="s">
        <v>1104</v>
      </c>
      <c r="R35" s="14" t="s">
        <v>1133</v>
      </c>
      <c r="S35" s="14" t="s">
        <v>1121</v>
      </c>
      <c r="T35" s="14" t="s">
        <v>1106</v>
      </c>
      <c r="U35" s="14">
        <v>5</v>
      </c>
      <c r="V35" s="35"/>
      <c r="W35" s="14"/>
      <c r="X35" s="14"/>
      <c r="Y35" s="14"/>
      <c r="Z35" s="14"/>
      <c r="AA35" s="14">
        <f t="shared" si="6"/>
        <v>0</v>
      </c>
    </row>
    <row r="36" spans="1:27" x14ac:dyDescent="0.4">
      <c r="A36" s="28" t="s">
        <v>41</v>
      </c>
      <c r="B36" s="15" t="s">
        <v>1128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>
        <v>2597</v>
      </c>
      <c r="V36" s="15"/>
      <c r="W36" s="15"/>
      <c r="X36" s="15"/>
      <c r="Y36" s="15"/>
      <c r="Z36" s="15"/>
      <c r="AA36" s="15">
        <f t="shared" si="6"/>
        <v>0</v>
      </c>
    </row>
    <row r="37" spans="1:27" x14ac:dyDescent="0.4">
      <c r="A37" s="28" t="s">
        <v>41</v>
      </c>
      <c r="B37" s="14" t="s">
        <v>856</v>
      </c>
      <c r="C37" s="14" t="s">
        <v>43</v>
      </c>
      <c r="D37" s="18" t="s">
        <v>854</v>
      </c>
      <c r="E37" s="18" t="s">
        <v>576</v>
      </c>
      <c r="F37" s="18" t="s">
        <v>850</v>
      </c>
      <c r="G37" s="18" t="s">
        <v>862</v>
      </c>
      <c r="H37" s="14" t="s">
        <v>47</v>
      </c>
      <c r="I37" s="33" t="s">
        <v>858</v>
      </c>
      <c r="J37" s="33" t="s">
        <v>860</v>
      </c>
      <c r="K37" s="33" t="s">
        <v>857</v>
      </c>
      <c r="L37" s="33" t="s">
        <v>859</v>
      </c>
      <c r="M37" s="14" t="s">
        <v>863</v>
      </c>
      <c r="N37" s="14" t="s">
        <v>864</v>
      </c>
      <c r="O37" s="14"/>
      <c r="P37" s="14" t="s">
        <v>1167</v>
      </c>
      <c r="Q37" s="14" t="s">
        <v>1104</v>
      </c>
      <c r="R37" s="14" t="s">
        <v>1109</v>
      </c>
      <c r="S37" s="14" t="s">
        <v>1121</v>
      </c>
      <c r="T37" s="14" t="s">
        <v>1106</v>
      </c>
      <c r="U37" s="14">
        <v>26</v>
      </c>
      <c r="V37" s="35"/>
      <c r="W37" s="14"/>
      <c r="X37" s="14"/>
      <c r="Y37" s="14"/>
      <c r="Z37" s="14"/>
      <c r="AA37" s="14">
        <f t="shared" si="6"/>
        <v>0</v>
      </c>
    </row>
    <row r="38" spans="1:27" x14ac:dyDescent="0.4">
      <c r="A38" s="28" t="s">
        <v>41</v>
      </c>
      <c r="B38" s="15" t="s">
        <v>1129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>
        <v>26</v>
      </c>
      <c r="V38" s="15"/>
      <c r="W38" s="15"/>
      <c r="X38" s="15"/>
      <c r="Y38" s="15"/>
      <c r="Z38" s="15"/>
      <c r="AA38" s="15">
        <f t="shared" si="6"/>
        <v>0</v>
      </c>
    </row>
    <row r="39" spans="1:27" x14ac:dyDescent="0.4">
      <c r="A39" s="28" t="s">
        <v>41</v>
      </c>
      <c r="B39" s="19" t="s">
        <v>430</v>
      </c>
      <c r="C39" s="18" t="s">
        <v>43</v>
      </c>
      <c r="D39" s="18" t="s">
        <v>563</v>
      </c>
      <c r="E39" s="18" t="s">
        <v>510</v>
      </c>
      <c r="F39" s="18" t="s">
        <v>559</v>
      </c>
      <c r="G39" s="18" t="s">
        <v>568</v>
      </c>
      <c r="H39" s="14" t="s">
        <v>47</v>
      </c>
      <c r="I39" s="33" t="s">
        <v>565</v>
      </c>
      <c r="J39" s="33" t="s">
        <v>566</v>
      </c>
      <c r="K39" s="33" t="s">
        <v>44</v>
      </c>
      <c r="L39" s="33" t="s">
        <v>44</v>
      </c>
      <c r="M39" s="14" t="s">
        <v>569</v>
      </c>
      <c r="N39" s="14" t="s">
        <v>570</v>
      </c>
      <c r="O39" s="14"/>
      <c r="P39" s="14" t="s">
        <v>1168</v>
      </c>
      <c r="Q39" s="14" t="s">
        <v>1108</v>
      </c>
      <c r="R39" s="14" t="s">
        <v>1133</v>
      </c>
      <c r="S39" s="14" t="s">
        <v>1121</v>
      </c>
      <c r="T39" s="14" t="s">
        <v>1106</v>
      </c>
      <c r="U39" s="14">
        <v>12</v>
      </c>
      <c r="V39" s="35"/>
      <c r="W39" s="14"/>
      <c r="X39" s="14"/>
      <c r="Y39" s="14"/>
      <c r="Z39" s="14"/>
      <c r="AA39" s="14">
        <f t="shared" si="6"/>
        <v>0</v>
      </c>
    </row>
    <row r="40" spans="1:27" x14ac:dyDescent="0.4">
      <c r="A40" s="28" t="s">
        <v>41</v>
      </c>
      <c r="B40" s="19" t="s">
        <v>430</v>
      </c>
      <c r="C40" s="18" t="s">
        <v>43</v>
      </c>
      <c r="D40" s="18" t="s">
        <v>447</v>
      </c>
      <c r="E40" s="18" t="s">
        <v>481</v>
      </c>
      <c r="F40" s="18" t="s">
        <v>482</v>
      </c>
      <c r="G40" s="18" t="s">
        <v>491</v>
      </c>
      <c r="H40" s="14" t="s">
        <v>47</v>
      </c>
      <c r="I40" s="33" t="s">
        <v>488</v>
      </c>
      <c r="J40" s="33" t="s">
        <v>489</v>
      </c>
      <c r="K40" s="33" t="s">
        <v>487</v>
      </c>
      <c r="L40" s="33" t="s">
        <v>44</v>
      </c>
      <c r="M40" s="14" t="s">
        <v>492</v>
      </c>
      <c r="N40" s="14" t="s">
        <v>493</v>
      </c>
      <c r="O40" s="14"/>
      <c r="P40" s="14" t="s">
        <v>1169</v>
      </c>
      <c r="Q40" s="14" t="s">
        <v>1108</v>
      </c>
      <c r="R40" s="14" t="s">
        <v>1109</v>
      </c>
      <c r="S40" s="14" t="s">
        <v>1110</v>
      </c>
      <c r="T40" s="14" t="s">
        <v>1106</v>
      </c>
      <c r="U40" s="14">
        <v>33</v>
      </c>
      <c r="V40" s="35"/>
      <c r="W40" s="14"/>
      <c r="X40" s="14"/>
      <c r="Y40" s="14"/>
      <c r="Z40" s="14"/>
      <c r="AA40" s="14">
        <f t="shared" si="6"/>
        <v>0</v>
      </c>
    </row>
    <row r="41" spans="1:27" x14ac:dyDescent="0.4">
      <c r="A41" s="28" t="s">
        <v>41</v>
      </c>
      <c r="B41" s="19" t="s">
        <v>430</v>
      </c>
      <c r="C41" s="18" t="s">
        <v>43</v>
      </c>
      <c r="D41" s="18" t="s">
        <v>447</v>
      </c>
      <c r="E41" s="18" t="s">
        <v>481</v>
      </c>
      <c r="F41" s="18" t="s">
        <v>908</v>
      </c>
      <c r="G41" s="18" t="s">
        <v>911</v>
      </c>
      <c r="H41" s="14" t="s">
        <v>47</v>
      </c>
      <c r="I41" s="33" t="s">
        <v>909</v>
      </c>
      <c r="J41" s="33" t="s">
        <v>910</v>
      </c>
      <c r="K41" s="33" t="s">
        <v>431</v>
      </c>
      <c r="L41" s="33" t="s">
        <v>44</v>
      </c>
      <c r="M41" s="14" t="s">
        <v>912</v>
      </c>
      <c r="N41" s="14" t="s">
        <v>913</v>
      </c>
      <c r="O41" s="14"/>
      <c r="P41" s="14" t="s">
        <v>1170</v>
      </c>
      <c r="Q41" s="14" t="s">
        <v>1108</v>
      </c>
      <c r="R41" s="14" t="s">
        <v>1109</v>
      </c>
      <c r="S41" s="14" t="s">
        <v>1119</v>
      </c>
      <c r="T41" s="14" t="s">
        <v>1106</v>
      </c>
      <c r="U41" s="14">
        <v>33</v>
      </c>
      <c r="V41" s="35"/>
      <c r="W41" s="14"/>
      <c r="X41" s="14"/>
      <c r="Y41" s="14"/>
      <c r="Z41" s="14"/>
      <c r="AA41" s="14">
        <f t="shared" si="6"/>
        <v>0</v>
      </c>
    </row>
    <row r="42" spans="1:27" x14ac:dyDescent="0.4">
      <c r="A42" s="28" t="s">
        <v>41</v>
      </c>
      <c r="B42" s="19" t="s">
        <v>430</v>
      </c>
      <c r="C42" s="18" t="s">
        <v>43</v>
      </c>
      <c r="D42" s="18" t="s">
        <v>447</v>
      </c>
      <c r="E42" s="18" t="s">
        <v>481</v>
      </c>
      <c r="F42" s="18" t="s">
        <v>914</v>
      </c>
      <c r="G42" s="18" t="s">
        <v>911</v>
      </c>
      <c r="H42" s="14" t="s">
        <v>47</v>
      </c>
      <c r="I42" s="33" t="s">
        <v>488</v>
      </c>
      <c r="J42" s="33" t="s">
        <v>489</v>
      </c>
      <c r="K42" s="33" t="s">
        <v>487</v>
      </c>
      <c r="L42" s="33" t="s">
        <v>44</v>
      </c>
      <c r="M42" s="14" t="s">
        <v>916</v>
      </c>
      <c r="N42" s="14" t="s">
        <v>917</v>
      </c>
      <c r="O42" s="14"/>
      <c r="P42" s="14" t="s">
        <v>1171</v>
      </c>
      <c r="Q42" s="14" t="s">
        <v>1108</v>
      </c>
      <c r="R42" s="14" t="s">
        <v>1109</v>
      </c>
      <c r="S42" s="14" t="s">
        <v>1119</v>
      </c>
      <c r="T42" s="14" t="s">
        <v>1106</v>
      </c>
      <c r="U42" s="14">
        <v>33</v>
      </c>
      <c r="V42" s="35"/>
      <c r="W42" s="14"/>
      <c r="X42" s="14"/>
      <c r="Y42" s="14"/>
      <c r="Z42" s="14"/>
      <c r="AA42" s="14">
        <f t="shared" si="6"/>
        <v>0</v>
      </c>
    </row>
    <row r="43" spans="1:27" x14ac:dyDescent="0.4">
      <c r="A43" s="28" t="s">
        <v>41</v>
      </c>
      <c r="B43" s="19" t="s">
        <v>430</v>
      </c>
      <c r="C43" s="18" t="s">
        <v>43</v>
      </c>
      <c r="D43" s="18" t="s">
        <v>447</v>
      </c>
      <c r="E43" s="18" t="s">
        <v>494</v>
      </c>
      <c r="F43" s="18" t="s">
        <v>702</v>
      </c>
      <c r="G43" s="18" t="s">
        <v>708</v>
      </c>
      <c r="H43" s="14" t="s">
        <v>47</v>
      </c>
      <c r="I43" s="33" t="s">
        <v>705</v>
      </c>
      <c r="J43" s="33" t="s">
        <v>707</v>
      </c>
      <c r="K43" s="33" t="s">
        <v>704</v>
      </c>
      <c r="L43" s="33" t="s">
        <v>706</v>
      </c>
      <c r="M43" s="14" t="s">
        <v>709</v>
      </c>
      <c r="N43" s="14" t="s">
        <v>710</v>
      </c>
      <c r="O43" s="14"/>
      <c r="P43" s="14" t="s">
        <v>1172</v>
      </c>
      <c r="Q43" s="14" t="s">
        <v>1108</v>
      </c>
      <c r="R43" s="14" t="s">
        <v>1109</v>
      </c>
      <c r="S43" s="14" t="s">
        <v>1117</v>
      </c>
      <c r="T43" s="14" t="s">
        <v>1106</v>
      </c>
      <c r="U43" s="14">
        <v>39</v>
      </c>
      <c r="V43" s="35"/>
      <c r="W43" s="14"/>
      <c r="X43" s="14"/>
      <c r="Y43" s="14"/>
      <c r="Z43" s="14"/>
      <c r="AA43" s="14">
        <f t="shared" si="6"/>
        <v>0</v>
      </c>
    </row>
    <row r="44" spans="1:27" x14ac:dyDescent="0.4">
      <c r="A44" s="28" t="s">
        <v>41</v>
      </c>
      <c r="B44" s="19" t="s">
        <v>430</v>
      </c>
      <c r="C44" s="18" t="s">
        <v>43</v>
      </c>
      <c r="D44" s="18" t="s">
        <v>447</v>
      </c>
      <c r="E44" s="18" t="s">
        <v>494</v>
      </c>
      <c r="F44" s="18" t="s">
        <v>711</v>
      </c>
      <c r="G44" s="18" t="s">
        <v>136</v>
      </c>
      <c r="H44" s="14" t="s">
        <v>47</v>
      </c>
      <c r="I44" s="33" t="s">
        <v>705</v>
      </c>
      <c r="J44" s="33" t="s">
        <v>707</v>
      </c>
      <c r="K44" s="33" t="s">
        <v>704</v>
      </c>
      <c r="L44" s="33" t="s">
        <v>706</v>
      </c>
      <c r="M44" s="14" t="s">
        <v>713</v>
      </c>
      <c r="N44" s="14" t="s">
        <v>714</v>
      </c>
      <c r="O44" s="14"/>
      <c r="P44" s="14" t="s">
        <v>1173</v>
      </c>
      <c r="Q44" s="14" t="s">
        <v>1108</v>
      </c>
      <c r="R44" s="14" t="s">
        <v>1109</v>
      </c>
      <c r="S44" s="14" t="s">
        <v>1117</v>
      </c>
      <c r="T44" s="14" t="s">
        <v>1106</v>
      </c>
      <c r="U44" s="14">
        <v>39</v>
      </c>
      <c r="V44" s="35"/>
      <c r="W44" s="14"/>
      <c r="X44" s="14"/>
      <c r="Y44" s="14"/>
      <c r="Z44" s="14"/>
      <c r="AA44" s="14">
        <f t="shared" si="6"/>
        <v>0</v>
      </c>
    </row>
    <row r="45" spans="1:27" x14ac:dyDescent="0.4">
      <c r="A45" s="28" t="s">
        <v>41</v>
      </c>
      <c r="B45" s="19" t="s">
        <v>430</v>
      </c>
      <c r="C45" s="18" t="s">
        <v>43</v>
      </c>
      <c r="D45" s="18" t="s">
        <v>447</v>
      </c>
      <c r="E45" s="18" t="s">
        <v>494</v>
      </c>
      <c r="F45" s="18" t="s">
        <v>715</v>
      </c>
      <c r="G45" s="18" t="s">
        <v>717</v>
      </c>
      <c r="H45" s="14" t="s">
        <v>47</v>
      </c>
      <c r="I45" s="33" t="s">
        <v>705</v>
      </c>
      <c r="J45" s="33" t="s">
        <v>707</v>
      </c>
      <c r="K45" s="33" t="s">
        <v>704</v>
      </c>
      <c r="L45" s="33" t="s">
        <v>706</v>
      </c>
      <c r="M45" s="14" t="s">
        <v>718</v>
      </c>
      <c r="N45" s="14" t="s">
        <v>719</v>
      </c>
      <c r="O45" s="14"/>
      <c r="P45" s="14" t="s">
        <v>1174</v>
      </c>
      <c r="Q45" s="14" t="s">
        <v>1108</v>
      </c>
      <c r="R45" s="14" t="s">
        <v>1109</v>
      </c>
      <c r="S45" s="14" t="s">
        <v>1117</v>
      </c>
      <c r="T45" s="14" t="s">
        <v>1106</v>
      </c>
      <c r="U45" s="14">
        <v>39</v>
      </c>
      <c r="V45" s="35"/>
      <c r="W45" s="14"/>
      <c r="X45" s="14"/>
      <c r="Y45" s="14"/>
      <c r="Z45" s="14"/>
      <c r="AA45" s="14">
        <f t="shared" si="6"/>
        <v>0</v>
      </c>
    </row>
    <row r="46" spans="1:27" x14ac:dyDescent="0.4">
      <c r="A46" s="28" t="s">
        <v>41</v>
      </c>
      <c r="B46" s="19" t="s">
        <v>430</v>
      </c>
      <c r="C46" s="18" t="s">
        <v>43</v>
      </c>
      <c r="D46" s="18" t="s">
        <v>447</v>
      </c>
      <c r="E46" s="18" t="s">
        <v>726</v>
      </c>
      <c r="F46" s="18" t="s">
        <v>727</v>
      </c>
      <c r="G46" s="18" t="s">
        <v>734</v>
      </c>
      <c r="H46" s="14" t="s">
        <v>62</v>
      </c>
      <c r="I46" s="33" t="s">
        <v>732</v>
      </c>
      <c r="J46" s="33" t="s">
        <v>732</v>
      </c>
      <c r="K46" s="33" t="s">
        <v>44</v>
      </c>
      <c r="L46" s="33" t="s">
        <v>44</v>
      </c>
      <c r="M46" s="14" t="s">
        <v>735</v>
      </c>
      <c r="N46" s="14" t="s">
        <v>736</v>
      </c>
      <c r="O46" s="14"/>
      <c r="P46" s="14" t="s">
        <v>1175</v>
      </c>
      <c r="Q46" s="14" t="s">
        <v>1104</v>
      </c>
      <c r="R46" s="14" t="s">
        <v>1133</v>
      </c>
      <c r="S46" s="14" t="s">
        <v>1121</v>
      </c>
      <c r="T46" s="14" t="s">
        <v>1107</v>
      </c>
      <c r="U46" s="14">
        <v>18</v>
      </c>
      <c r="V46" s="35"/>
      <c r="W46" s="14"/>
      <c r="X46" s="14"/>
      <c r="Y46" s="14"/>
      <c r="Z46" s="14"/>
      <c r="AA46" s="14">
        <f t="shared" si="6"/>
        <v>0</v>
      </c>
    </row>
    <row r="47" spans="1:27" x14ac:dyDescent="0.4">
      <c r="A47" s="28" t="s">
        <v>41</v>
      </c>
      <c r="B47" s="19" t="s">
        <v>430</v>
      </c>
      <c r="C47" s="18" t="s">
        <v>43</v>
      </c>
      <c r="D47" s="18" t="s">
        <v>447</v>
      </c>
      <c r="E47" s="18" t="s">
        <v>726</v>
      </c>
      <c r="F47" s="18" t="s">
        <v>737</v>
      </c>
      <c r="G47" s="18" t="s">
        <v>734</v>
      </c>
      <c r="H47" s="14" t="s">
        <v>62</v>
      </c>
      <c r="I47" s="33" t="s">
        <v>732</v>
      </c>
      <c r="J47" s="33" t="s">
        <v>732</v>
      </c>
      <c r="K47" s="33" t="s">
        <v>44</v>
      </c>
      <c r="L47" s="33" t="s">
        <v>44</v>
      </c>
      <c r="M47" s="14" t="s">
        <v>739</v>
      </c>
      <c r="N47" s="14" t="s">
        <v>740</v>
      </c>
      <c r="O47" s="14"/>
      <c r="P47" s="14" t="s">
        <v>1176</v>
      </c>
      <c r="Q47" s="14" t="s">
        <v>1104</v>
      </c>
      <c r="R47" s="14" t="s">
        <v>1133</v>
      </c>
      <c r="S47" s="14" t="s">
        <v>1121</v>
      </c>
      <c r="T47" s="14" t="s">
        <v>1107</v>
      </c>
      <c r="U47" s="14">
        <v>16</v>
      </c>
      <c r="V47" s="35"/>
      <c r="W47" s="14"/>
      <c r="X47" s="14"/>
      <c r="Y47" s="14"/>
      <c r="Z47" s="14"/>
      <c r="AA47" s="14">
        <f t="shared" si="6"/>
        <v>0</v>
      </c>
    </row>
    <row r="48" spans="1:27" x14ac:dyDescent="0.4">
      <c r="A48" s="28" t="s">
        <v>41</v>
      </c>
      <c r="B48" s="19" t="s">
        <v>430</v>
      </c>
      <c r="C48" s="18" t="s">
        <v>43</v>
      </c>
      <c r="D48" s="18" t="s">
        <v>447</v>
      </c>
      <c r="E48" s="18" t="s">
        <v>726</v>
      </c>
      <c r="F48" s="18" t="s">
        <v>741</v>
      </c>
      <c r="G48" s="18" t="s">
        <v>734</v>
      </c>
      <c r="H48" s="14" t="s">
        <v>62</v>
      </c>
      <c r="I48" s="33" t="s">
        <v>732</v>
      </c>
      <c r="J48" s="33" t="s">
        <v>732</v>
      </c>
      <c r="K48" s="33" t="s">
        <v>44</v>
      </c>
      <c r="L48" s="33" t="s">
        <v>44</v>
      </c>
      <c r="M48" s="14" t="s">
        <v>743</v>
      </c>
      <c r="N48" s="14" t="s">
        <v>744</v>
      </c>
      <c r="O48" s="14"/>
      <c r="P48" s="14" t="s">
        <v>1177</v>
      </c>
      <c r="Q48" s="14" t="s">
        <v>1104</v>
      </c>
      <c r="R48" s="14" t="s">
        <v>1133</v>
      </c>
      <c r="S48" s="14" t="s">
        <v>1121</v>
      </c>
      <c r="T48" s="14" t="s">
        <v>1107</v>
      </c>
      <c r="U48" s="14">
        <v>43</v>
      </c>
      <c r="V48" s="35"/>
      <c r="W48" s="14"/>
      <c r="X48" s="14"/>
      <c r="Y48" s="14"/>
      <c r="Z48" s="14"/>
      <c r="AA48" s="14">
        <f t="shared" si="6"/>
        <v>0</v>
      </c>
    </row>
    <row r="49" spans="1:27" x14ac:dyDescent="0.4">
      <c r="A49" s="28" t="s">
        <v>41</v>
      </c>
      <c r="B49" s="19" t="s">
        <v>430</v>
      </c>
      <c r="C49" s="18" t="s">
        <v>43</v>
      </c>
      <c r="D49" s="18" t="s">
        <v>447</v>
      </c>
      <c r="E49" s="18" t="s">
        <v>726</v>
      </c>
      <c r="F49" s="18" t="s">
        <v>745</v>
      </c>
      <c r="G49" s="18" t="s">
        <v>734</v>
      </c>
      <c r="H49" s="14" t="s">
        <v>62</v>
      </c>
      <c r="I49" s="33" t="s">
        <v>732</v>
      </c>
      <c r="J49" s="33" t="s">
        <v>732</v>
      </c>
      <c r="K49" s="33" t="s">
        <v>44</v>
      </c>
      <c r="L49" s="33" t="s">
        <v>44</v>
      </c>
      <c r="M49" s="14" t="s">
        <v>746</v>
      </c>
      <c r="N49" s="14" t="s">
        <v>747</v>
      </c>
      <c r="O49" s="14"/>
      <c r="P49" s="14" t="s">
        <v>1178</v>
      </c>
      <c r="Q49" s="14" t="s">
        <v>1104</v>
      </c>
      <c r="R49" s="14" t="s">
        <v>1133</v>
      </c>
      <c r="S49" s="14" t="s">
        <v>1121</v>
      </c>
      <c r="T49" s="14" t="s">
        <v>1107</v>
      </c>
      <c r="U49" s="14">
        <v>43</v>
      </c>
      <c r="V49" s="35"/>
      <c r="W49" s="14"/>
      <c r="X49" s="14"/>
      <c r="Y49" s="14"/>
      <c r="Z49" s="14"/>
      <c r="AA49" s="14">
        <f t="shared" si="6"/>
        <v>0</v>
      </c>
    </row>
    <row r="50" spans="1:27" x14ac:dyDescent="0.4">
      <c r="A50" s="28" t="s">
        <v>41</v>
      </c>
      <c r="B50" s="19" t="s">
        <v>430</v>
      </c>
      <c r="C50" s="18" t="s">
        <v>43</v>
      </c>
      <c r="D50" s="18" t="s">
        <v>447</v>
      </c>
      <c r="E50" s="18" t="s">
        <v>442</v>
      </c>
      <c r="F50" s="18" t="s">
        <v>443</v>
      </c>
      <c r="G50" s="18" t="s">
        <v>451</v>
      </c>
      <c r="H50" s="14" t="s">
        <v>449</v>
      </c>
      <c r="I50" s="33" t="s">
        <v>424</v>
      </c>
      <c r="J50" s="33" t="s">
        <v>425</v>
      </c>
      <c r="K50" s="33" t="s">
        <v>423</v>
      </c>
      <c r="L50" s="33" t="s">
        <v>44</v>
      </c>
      <c r="M50" s="14" t="s">
        <v>452</v>
      </c>
      <c r="N50" s="14" t="s">
        <v>453</v>
      </c>
      <c r="O50" s="14"/>
      <c r="P50" s="14" t="s">
        <v>1179</v>
      </c>
      <c r="Q50" s="14" t="s">
        <v>1104</v>
      </c>
      <c r="R50" s="14" t="s">
        <v>1133</v>
      </c>
      <c r="S50" s="14" t="s">
        <v>1121</v>
      </c>
      <c r="T50" s="14" t="s">
        <v>1107</v>
      </c>
      <c r="U50" s="14">
        <v>1</v>
      </c>
      <c r="V50" s="35"/>
      <c r="W50" s="14"/>
      <c r="X50" s="14"/>
      <c r="Y50" s="14"/>
      <c r="Z50" s="14"/>
      <c r="AA50" s="14">
        <f t="shared" si="6"/>
        <v>0</v>
      </c>
    </row>
    <row r="51" spans="1:27" x14ac:dyDescent="0.4">
      <c r="A51" s="28" t="s">
        <v>41</v>
      </c>
      <c r="B51" s="19" t="s">
        <v>430</v>
      </c>
      <c r="C51" s="18" t="s">
        <v>43</v>
      </c>
      <c r="D51" s="18" t="s">
        <v>447</v>
      </c>
      <c r="E51" s="18" t="s">
        <v>442</v>
      </c>
      <c r="F51" s="18" t="s">
        <v>454</v>
      </c>
      <c r="G51" s="18" t="s">
        <v>456</v>
      </c>
      <c r="H51" s="14" t="s">
        <v>449</v>
      </c>
      <c r="I51" s="33" t="s">
        <v>424</v>
      </c>
      <c r="J51" s="33" t="s">
        <v>425</v>
      </c>
      <c r="K51" s="33" t="s">
        <v>423</v>
      </c>
      <c r="L51" s="33" t="s">
        <v>44</v>
      </c>
      <c r="M51" s="14" t="s">
        <v>457</v>
      </c>
      <c r="N51" s="14" t="s">
        <v>458</v>
      </c>
      <c r="O51" s="14"/>
      <c r="P51" s="14" t="s">
        <v>1180</v>
      </c>
      <c r="Q51" s="14" t="s">
        <v>1104</v>
      </c>
      <c r="R51" s="14" t="s">
        <v>1133</v>
      </c>
      <c r="S51" s="14" t="s">
        <v>1121</v>
      </c>
      <c r="T51" s="14" t="s">
        <v>1107</v>
      </c>
      <c r="U51" s="14">
        <v>1</v>
      </c>
      <c r="V51" s="35"/>
      <c r="W51" s="14"/>
      <c r="X51" s="14"/>
      <c r="Y51" s="14"/>
      <c r="Z51" s="14"/>
      <c r="AA51" s="14">
        <f t="shared" si="6"/>
        <v>0</v>
      </c>
    </row>
    <row r="52" spans="1:27" x14ac:dyDescent="0.4">
      <c r="A52" s="28" t="s">
        <v>41</v>
      </c>
      <c r="B52" s="19" t="s">
        <v>430</v>
      </c>
      <c r="C52" s="18" t="s">
        <v>43</v>
      </c>
      <c r="D52" s="18" t="s">
        <v>447</v>
      </c>
      <c r="E52" s="18" t="s">
        <v>971</v>
      </c>
      <c r="F52" s="18" t="s">
        <v>979</v>
      </c>
      <c r="G52" s="18" t="s">
        <v>981</v>
      </c>
      <c r="H52" s="14" t="s">
        <v>449</v>
      </c>
      <c r="I52" s="33" t="s">
        <v>424</v>
      </c>
      <c r="J52" s="33" t="s">
        <v>425</v>
      </c>
      <c r="K52" s="33" t="s">
        <v>423</v>
      </c>
      <c r="L52" s="33" t="s">
        <v>44</v>
      </c>
      <c r="M52" s="14" t="s">
        <v>982</v>
      </c>
      <c r="N52" s="14" t="s">
        <v>983</v>
      </c>
      <c r="O52" s="14"/>
      <c r="P52" s="14" t="s">
        <v>1181</v>
      </c>
      <c r="Q52" s="14" t="s">
        <v>1121</v>
      </c>
      <c r="R52" s="14" t="s">
        <v>1134</v>
      </c>
      <c r="S52" s="14" t="s">
        <v>1121</v>
      </c>
      <c r="T52" s="14" t="s">
        <v>1121</v>
      </c>
      <c r="U52" s="14">
        <v>8</v>
      </c>
      <c r="V52" s="35"/>
      <c r="W52" s="14"/>
      <c r="X52" s="14"/>
      <c r="Y52" s="14"/>
      <c r="Z52" s="14"/>
      <c r="AA52" s="14">
        <f t="shared" si="6"/>
        <v>0</v>
      </c>
    </row>
    <row r="53" spans="1:27" x14ac:dyDescent="0.4">
      <c r="A53" s="28" t="s">
        <v>41</v>
      </c>
      <c r="B53" s="19" t="s">
        <v>430</v>
      </c>
      <c r="C53" s="18" t="s">
        <v>43</v>
      </c>
      <c r="D53" s="18" t="s">
        <v>447</v>
      </c>
      <c r="E53" s="18" t="s">
        <v>971</v>
      </c>
      <c r="F53" s="18" t="s">
        <v>984</v>
      </c>
      <c r="G53" s="18" t="s">
        <v>986</v>
      </c>
      <c r="H53" s="14" t="s">
        <v>449</v>
      </c>
      <c r="I53" s="33" t="s">
        <v>424</v>
      </c>
      <c r="J53" s="33" t="s">
        <v>425</v>
      </c>
      <c r="K53" s="33" t="s">
        <v>423</v>
      </c>
      <c r="L53" s="33" t="s">
        <v>44</v>
      </c>
      <c r="M53" s="14" t="s">
        <v>987</v>
      </c>
      <c r="N53" s="14" t="s">
        <v>988</v>
      </c>
      <c r="O53" s="14"/>
      <c r="P53" s="14" t="s">
        <v>1182</v>
      </c>
      <c r="Q53" s="14" t="s">
        <v>1121</v>
      </c>
      <c r="R53" s="14" t="s">
        <v>1134</v>
      </c>
      <c r="S53" s="14" t="s">
        <v>1121</v>
      </c>
      <c r="T53" s="14" t="s">
        <v>1121</v>
      </c>
      <c r="U53" s="14">
        <v>1</v>
      </c>
      <c r="V53" s="35"/>
      <c r="W53" s="14"/>
      <c r="X53" s="14"/>
      <c r="Y53" s="14"/>
      <c r="Z53" s="14"/>
      <c r="AA53" s="14">
        <f t="shared" si="6"/>
        <v>0</v>
      </c>
    </row>
    <row r="54" spans="1:27" x14ac:dyDescent="0.4">
      <c r="A54" s="28" t="s">
        <v>41</v>
      </c>
      <c r="B54" s="19" t="s">
        <v>430</v>
      </c>
      <c r="C54" s="18" t="s">
        <v>43</v>
      </c>
      <c r="D54" s="18" t="s">
        <v>447</v>
      </c>
      <c r="E54" s="18" t="s">
        <v>971</v>
      </c>
      <c r="F54" s="18" t="s">
        <v>989</v>
      </c>
      <c r="G54" s="18" t="s">
        <v>991</v>
      </c>
      <c r="H54" s="14" t="s">
        <v>449</v>
      </c>
      <c r="I54" s="33" t="s">
        <v>424</v>
      </c>
      <c r="J54" s="33" t="s">
        <v>425</v>
      </c>
      <c r="K54" s="33" t="s">
        <v>423</v>
      </c>
      <c r="L54" s="33" t="s">
        <v>44</v>
      </c>
      <c r="M54" s="14" t="s">
        <v>992</v>
      </c>
      <c r="N54" s="14" t="s">
        <v>993</v>
      </c>
      <c r="O54" s="14"/>
      <c r="P54" s="14" t="s">
        <v>1183</v>
      </c>
      <c r="Q54" s="14" t="s">
        <v>1121</v>
      </c>
      <c r="R54" s="14" t="s">
        <v>1134</v>
      </c>
      <c r="S54" s="14" t="s">
        <v>1121</v>
      </c>
      <c r="T54" s="14" t="s">
        <v>1121</v>
      </c>
      <c r="U54" s="14">
        <v>6</v>
      </c>
      <c r="V54" s="35"/>
      <c r="W54" s="14"/>
      <c r="X54" s="14"/>
      <c r="Y54" s="14"/>
      <c r="Z54" s="14"/>
      <c r="AA54" s="14">
        <f t="shared" si="6"/>
        <v>0</v>
      </c>
    </row>
    <row r="55" spans="1:27" x14ac:dyDescent="0.4">
      <c r="A55" s="28" t="s">
        <v>41</v>
      </c>
      <c r="B55" s="19" t="s">
        <v>430</v>
      </c>
      <c r="C55" s="18" t="s">
        <v>43</v>
      </c>
      <c r="D55" s="18" t="s">
        <v>447</v>
      </c>
      <c r="E55" s="18" t="s">
        <v>971</v>
      </c>
      <c r="F55" s="18" t="s">
        <v>997</v>
      </c>
      <c r="G55" s="18" t="s">
        <v>999</v>
      </c>
      <c r="H55" s="14" t="s">
        <v>449</v>
      </c>
      <c r="I55" s="33" t="s">
        <v>424</v>
      </c>
      <c r="J55" s="33" t="s">
        <v>425</v>
      </c>
      <c r="K55" s="33" t="s">
        <v>423</v>
      </c>
      <c r="L55" s="33" t="s">
        <v>44</v>
      </c>
      <c r="M55" s="14" t="s">
        <v>1000</v>
      </c>
      <c r="N55" s="14" t="s">
        <v>1001</v>
      </c>
      <c r="O55" s="14"/>
      <c r="P55" s="14" t="s">
        <v>1184</v>
      </c>
      <c r="Q55" s="14" t="s">
        <v>1121</v>
      </c>
      <c r="R55" s="14" t="s">
        <v>1134</v>
      </c>
      <c r="S55" s="14" t="s">
        <v>1121</v>
      </c>
      <c r="T55" s="14" t="s">
        <v>1121</v>
      </c>
      <c r="U55" s="14">
        <v>17</v>
      </c>
      <c r="V55" s="35"/>
      <c r="W55" s="14"/>
      <c r="X55" s="14"/>
      <c r="Y55" s="14"/>
      <c r="Z55" s="14"/>
      <c r="AA55" s="14">
        <f t="shared" si="6"/>
        <v>0</v>
      </c>
    </row>
    <row r="56" spans="1:27" x14ac:dyDescent="0.4">
      <c r="A56" s="28" t="s">
        <v>41</v>
      </c>
      <c r="B56" s="19" t="s">
        <v>430</v>
      </c>
      <c r="C56" s="18" t="s">
        <v>43</v>
      </c>
      <c r="D56" s="18" t="s">
        <v>407</v>
      </c>
      <c r="E56" s="18" t="s">
        <v>608</v>
      </c>
      <c r="F56" s="18" t="s">
        <v>609</v>
      </c>
      <c r="G56" s="18" t="s">
        <v>611</v>
      </c>
      <c r="H56" s="14" t="s">
        <v>449</v>
      </c>
      <c r="I56" s="33" t="s">
        <v>424</v>
      </c>
      <c r="J56" s="33" t="s">
        <v>425</v>
      </c>
      <c r="K56" s="33" t="s">
        <v>423</v>
      </c>
      <c r="L56" s="33" t="s">
        <v>44</v>
      </c>
      <c r="M56" s="14" t="s">
        <v>612</v>
      </c>
      <c r="N56" s="14" t="s">
        <v>613</v>
      </c>
      <c r="O56" s="14"/>
      <c r="P56" s="14" t="s">
        <v>1185</v>
      </c>
      <c r="Q56" s="14" t="s">
        <v>1121</v>
      </c>
      <c r="R56" s="14" t="s">
        <v>1134</v>
      </c>
      <c r="S56" s="14" t="s">
        <v>1121</v>
      </c>
      <c r="T56" s="14" t="s">
        <v>1121</v>
      </c>
      <c r="U56" s="14">
        <v>6</v>
      </c>
      <c r="V56" s="35"/>
      <c r="W56" s="14"/>
      <c r="X56" s="14"/>
      <c r="Y56" s="14"/>
      <c r="Z56" s="14"/>
      <c r="AA56" s="14">
        <f t="shared" si="6"/>
        <v>0</v>
      </c>
    </row>
    <row r="57" spans="1:27" x14ac:dyDescent="0.4">
      <c r="A57" s="28" t="s">
        <v>41</v>
      </c>
      <c r="B57" s="19" t="s">
        <v>430</v>
      </c>
      <c r="C57" s="18" t="s">
        <v>43</v>
      </c>
      <c r="D57" s="18" t="s">
        <v>407</v>
      </c>
      <c r="E57" s="18" t="s">
        <v>608</v>
      </c>
      <c r="F57" s="18" t="s">
        <v>761</v>
      </c>
      <c r="G57" s="18" t="s">
        <v>763</v>
      </c>
      <c r="H57" s="14" t="s">
        <v>449</v>
      </c>
      <c r="I57" s="33" t="s">
        <v>424</v>
      </c>
      <c r="J57" s="33" t="s">
        <v>425</v>
      </c>
      <c r="K57" s="33" t="s">
        <v>423</v>
      </c>
      <c r="L57" s="33" t="s">
        <v>44</v>
      </c>
      <c r="M57" s="14" t="s">
        <v>764</v>
      </c>
      <c r="N57" s="14" t="s">
        <v>765</v>
      </c>
      <c r="O57" s="14"/>
      <c r="P57" s="14" t="s">
        <v>1186</v>
      </c>
      <c r="Q57" s="14" t="s">
        <v>1121</v>
      </c>
      <c r="R57" s="14" t="s">
        <v>1134</v>
      </c>
      <c r="S57" s="14" t="s">
        <v>1121</v>
      </c>
      <c r="T57" s="14" t="s">
        <v>1121</v>
      </c>
      <c r="U57" s="14">
        <v>1</v>
      </c>
      <c r="V57" s="35"/>
      <c r="W57" s="14"/>
      <c r="X57" s="14"/>
      <c r="Y57" s="14"/>
      <c r="Z57" s="14"/>
      <c r="AA57" s="14">
        <f t="shared" si="6"/>
        <v>0</v>
      </c>
    </row>
    <row r="58" spans="1:27" x14ac:dyDescent="0.4">
      <c r="A58" s="28" t="s">
        <v>41</v>
      </c>
      <c r="B58" s="19" t="s">
        <v>430</v>
      </c>
      <c r="C58" s="18" t="s">
        <v>43</v>
      </c>
      <c r="D58" s="18" t="s">
        <v>407</v>
      </c>
      <c r="E58" s="18" t="s">
        <v>475</v>
      </c>
      <c r="F58" s="18" t="s">
        <v>476</v>
      </c>
      <c r="G58" s="18" t="s">
        <v>478</v>
      </c>
      <c r="H58" s="14" t="s">
        <v>449</v>
      </c>
      <c r="I58" s="33" t="s">
        <v>424</v>
      </c>
      <c r="J58" s="33" t="s">
        <v>425</v>
      </c>
      <c r="K58" s="33" t="s">
        <v>423</v>
      </c>
      <c r="L58" s="33" t="s">
        <v>44</v>
      </c>
      <c r="M58" s="14" t="s">
        <v>479</v>
      </c>
      <c r="N58" s="14" t="s">
        <v>480</v>
      </c>
      <c r="O58" s="14"/>
      <c r="P58" s="14" t="s">
        <v>1187</v>
      </c>
      <c r="Q58" s="14" t="s">
        <v>1121</v>
      </c>
      <c r="R58" s="14" t="s">
        <v>1134</v>
      </c>
      <c r="S58" s="14" t="s">
        <v>1121</v>
      </c>
      <c r="T58" s="14" t="s">
        <v>1121</v>
      </c>
      <c r="U58" s="14">
        <v>7</v>
      </c>
      <c r="V58" s="35"/>
      <c r="W58" s="14"/>
      <c r="X58" s="14"/>
      <c r="Y58" s="14"/>
      <c r="Z58" s="14"/>
      <c r="AA58" s="14">
        <f t="shared" si="6"/>
        <v>0</v>
      </c>
    </row>
    <row r="59" spans="1:27" x14ac:dyDescent="0.4">
      <c r="A59" s="28" t="s">
        <v>41</v>
      </c>
      <c r="B59" s="19" t="s">
        <v>430</v>
      </c>
      <c r="C59" s="18" t="s">
        <v>43</v>
      </c>
      <c r="D59" s="18" t="s">
        <v>407</v>
      </c>
      <c r="E59" s="18" t="s">
        <v>801</v>
      </c>
      <c r="F59" s="18" t="s">
        <v>802</v>
      </c>
      <c r="G59" s="18" t="s">
        <v>804</v>
      </c>
      <c r="H59" s="14" t="s">
        <v>449</v>
      </c>
      <c r="I59" s="33" t="s">
        <v>424</v>
      </c>
      <c r="J59" s="33" t="s">
        <v>425</v>
      </c>
      <c r="K59" s="33" t="s">
        <v>423</v>
      </c>
      <c r="L59" s="33" t="s">
        <v>44</v>
      </c>
      <c r="M59" s="14" t="s">
        <v>805</v>
      </c>
      <c r="N59" s="14" t="s">
        <v>806</v>
      </c>
      <c r="O59" s="14"/>
      <c r="P59" s="14" t="s">
        <v>1188</v>
      </c>
      <c r="Q59" s="14" t="s">
        <v>1121</v>
      </c>
      <c r="R59" s="14" t="s">
        <v>1134</v>
      </c>
      <c r="S59" s="14" t="s">
        <v>1121</v>
      </c>
      <c r="T59" s="14" t="s">
        <v>1121</v>
      </c>
      <c r="U59" s="14">
        <v>14</v>
      </c>
      <c r="V59" s="35"/>
      <c r="W59" s="14"/>
      <c r="X59" s="14"/>
      <c r="Y59" s="14"/>
      <c r="Z59" s="14"/>
      <c r="AA59" s="14">
        <f t="shared" si="6"/>
        <v>0</v>
      </c>
    </row>
    <row r="60" spans="1:27" x14ac:dyDescent="0.4">
      <c r="A60" s="28" t="s">
        <v>41</v>
      </c>
      <c r="B60" s="19" t="s">
        <v>430</v>
      </c>
      <c r="C60" s="18" t="s">
        <v>43</v>
      </c>
      <c r="D60" s="18" t="s">
        <v>407</v>
      </c>
      <c r="E60" s="18" t="s">
        <v>510</v>
      </c>
      <c r="F60" s="18" t="s">
        <v>511</v>
      </c>
      <c r="G60" s="18" t="s">
        <v>513</v>
      </c>
      <c r="H60" s="14" t="s">
        <v>449</v>
      </c>
      <c r="I60" s="33" t="s">
        <v>424</v>
      </c>
      <c r="J60" s="33" t="s">
        <v>425</v>
      </c>
      <c r="K60" s="33" t="s">
        <v>423</v>
      </c>
      <c r="L60" s="33" t="s">
        <v>44</v>
      </c>
      <c r="M60" s="14" t="s">
        <v>514</v>
      </c>
      <c r="N60" s="14" t="s">
        <v>515</v>
      </c>
      <c r="O60" s="14"/>
      <c r="P60" s="14" t="s">
        <v>1189</v>
      </c>
      <c r="Q60" s="14" t="s">
        <v>1108</v>
      </c>
      <c r="R60" s="14" t="s">
        <v>1133</v>
      </c>
      <c r="S60" s="14" t="s">
        <v>1121</v>
      </c>
      <c r="T60" s="14" t="s">
        <v>1107</v>
      </c>
      <c r="U60" s="14">
        <v>57</v>
      </c>
      <c r="V60" s="35"/>
      <c r="W60" s="14"/>
      <c r="X60" s="14"/>
      <c r="Y60" s="14"/>
      <c r="Z60" s="14"/>
      <c r="AA60" s="14">
        <f t="shared" si="6"/>
        <v>0</v>
      </c>
    </row>
    <row r="61" spans="1:27" x14ac:dyDescent="0.4">
      <c r="A61" s="28" t="s">
        <v>41</v>
      </c>
      <c r="B61" s="19" t="s">
        <v>430</v>
      </c>
      <c r="C61" s="18" t="s">
        <v>43</v>
      </c>
      <c r="D61" s="18" t="s">
        <v>407</v>
      </c>
      <c r="E61" s="18" t="s">
        <v>510</v>
      </c>
      <c r="F61" s="18" t="s">
        <v>531</v>
      </c>
      <c r="G61" s="18" t="s">
        <v>533</v>
      </c>
      <c r="H61" s="14" t="s">
        <v>449</v>
      </c>
      <c r="I61" s="33" t="s">
        <v>424</v>
      </c>
      <c r="J61" s="33" t="s">
        <v>425</v>
      </c>
      <c r="K61" s="33" t="s">
        <v>423</v>
      </c>
      <c r="L61" s="33" t="s">
        <v>44</v>
      </c>
      <c r="M61" s="14" t="s">
        <v>534</v>
      </c>
      <c r="N61" s="14" t="s">
        <v>535</v>
      </c>
      <c r="O61" s="14"/>
      <c r="P61" s="14" t="s">
        <v>1190</v>
      </c>
      <c r="Q61" s="14" t="s">
        <v>1108</v>
      </c>
      <c r="R61" s="14" t="s">
        <v>1133</v>
      </c>
      <c r="S61" s="14" t="s">
        <v>1121</v>
      </c>
      <c r="T61" s="14" t="s">
        <v>1107</v>
      </c>
      <c r="U61" s="14">
        <v>9</v>
      </c>
      <c r="V61" s="35"/>
      <c r="W61" s="14"/>
      <c r="X61" s="14"/>
      <c r="Y61" s="14"/>
      <c r="Z61" s="14"/>
      <c r="AA61" s="14">
        <f t="shared" si="6"/>
        <v>0</v>
      </c>
    </row>
    <row r="62" spans="1:27" x14ac:dyDescent="0.4">
      <c r="A62" s="28" t="s">
        <v>41</v>
      </c>
      <c r="B62" s="19" t="s">
        <v>430</v>
      </c>
      <c r="C62" s="18" t="s">
        <v>43</v>
      </c>
      <c r="D62" s="18" t="s">
        <v>407</v>
      </c>
      <c r="E62" s="18" t="s">
        <v>510</v>
      </c>
      <c r="F62" s="18" t="s">
        <v>536</v>
      </c>
      <c r="G62" s="18" t="s">
        <v>538</v>
      </c>
      <c r="H62" s="14" t="s">
        <v>449</v>
      </c>
      <c r="I62" s="33" t="s">
        <v>424</v>
      </c>
      <c r="J62" s="33" t="s">
        <v>425</v>
      </c>
      <c r="K62" s="33" t="s">
        <v>423</v>
      </c>
      <c r="L62" s="33" t="s">
        <v>44</v>
      </c>
      <c r="M62" s="14" t="s">
        <v>539</v>
      </c>
      <c r="N62" s="14" t="s">
        <v>540</v>
      </c>
      <c r="O62" s="14"/>
      <c r="P62" s="14" t="s">
        <v>1191</v>
      </c>
      <c r="Q62" s="14" t="s">
        <v>1108</v>
      </c>
      <c r="R62" s="14" t="s">
        <v>1133</v>
      </c>
      <c r="S62" s="14" t="s">
        <v>1121</v>
      </c>
      <c r="T62" s="14" t="s">
        <v>1107</v>
      </c>
      <c r="U62" s="14">
        <v>23</v>
      </c>
      <c r="V62" s="35"/>
      <c r="W62" s="14"/>
      <c r="X62" s="14"/>
      <c r="Y62" s="14"/>
      <c r="Z62" s="14"/>
      <c r="AA62" s="14">
        <f t="shared" si="6"/>
        <v>0</v>
      </c>
    </row>
    <row r="63" spans="1:27" x14ac:dyDescent="0.4">
      <c r="A63" s="28" t="s">
        <v>41</v>
      </c>
      <c r="B63" s="19" t="s">
        <v>430</v>
      </c>
      <c r="C63" s="18" t="s">
        <v>43</v>
      </c>
      <c r="D63" s="18" t="s">
        <v>407</v>
      </c>
      <c r="E63" s="18" t="s">
        <v>510</v>
      </c>
      <c r="F63" s="18" t="s">
        <v>541</v>
      </c>
      <c r="G63" s="18" t="s">
        <v>543</v>
      </c>
      <c r="H63" s="14" t="s">
        <v>449</v>
      </c>
      <c r="I63" s="33" t="s">
        <v>424</v>
      </c>
      <c r="J63" s="33" t="s">
        <v>425</v>
      </c>
      <c r="K63" s="33" t="s">
        <v>423</v>
      </c>
      <c r="L63" s="33" t="s">
        <v>44</v>
      </c>
      <c r="M63" s="14" t="s">
        <v>544</v>
      </c>
      <c r="N63" s="14" t="s">
        <v>545</v>
      </c>
      <c r="O63" s="14"/>
      <c r="P63" s="14" t="s">
        <v>1192</v>
      </c>
      <c r="Q63" s="14" t="s">
        <v>1108</v>
      </c>
      <c r="R63" s="14" t="s">
        <v>1133</v>
      </c>
      <c r="S63" s="14" t="s">
        <v>1121</v>
      </c>
      <c r="T63" s="14" t="s">
        <v>1107</v>
      </c>
      <c r="U63" s="14">
        <v>2521</v>
      </c>
      <c r="V63" s="35"/>
      <c r="W63" s="14"/>
      <c r="X63" s="14"/>
      <c r="Y63" s="14"/>
      <c r="Z63" s="14"/>
      <c r="AA63" s="14">
        <f t="shared" si="6"/>
        <v>0</v>
      </c>
    </row>
    <row r="64" spans="1:27" x14ac:dyDescent="0.4">
      <c r="A64" s="28" t="s">
        <v>41</v>
      </c>
      <c r="B64" s="19" t="s">
        <v>430</v>
      </c>
      <c r="C64" s="18" t="s">
        <v>43</v>
      </c>
      <c r="D64" s="18" t="s">
        <v>407</v>
      </c>
      <c r="E64" s="18" t="s">
        <v>510</v>
      </c>
      <c r="F64" s="18" t="s">
        <v>546</v>
      </c>
      <c r="G64" s="18" t="s">
        <v>548</v>
      </c>
      <c r="H64" s="14" t="s">
        <v>449</v>
      </c>
      <c r="I64" s="33" t="s">
        <v>424</v>
      </c>
      <c r="J64" s="33" t="s">
        <v>425</v>
      </c>
      <c r="K64" s="33" t="s">
        <v>423</v>
      </c>
      <c r="L64" s="33" t="s">
        <v>44</v>
      </c>
      <c r="M64" s="14" t="s">
        <v>549</v>
      </c>
      <c r="N64" s="14" t="s">
        <v>550</v>
      </c>
      <c r="O64" s="14"/>
      <c r="P64" s="14" t="s">
        <v>1193</v>
      </c>
      <c r="Q64" s="14" t="s">
        <v>1108</v>
      </c>
      <c r="R64" s="14" t="s">
        <v>1133</v>
      </c>
      <c r="S64" s="14" t="s">
        <v>1121</v>
      </c>
      <c r="T64" s="14" t="s">
        <v>1107</v>
      </c>
      <c r="U64" s="14">
        <v>6</v>
      </c>
      <c r="V64" s="35"/>
      <c r="W64" s="14"/>
      <c r="X64" s="14"/>
      <c r="Y64" s="14"/>
      <c r="Z64" s="14"/>
      <c r="AA64" s="14">
        <f t="shared" si="6"/>
        <v>0</v>
      </c>
    </row>
    <row r="65" spans="1:27" x14ac:dyDescent="0.4">
      <c r="A65" s="28" t="s">
        <v>41</v>
      </c>
      <c r="B65" s="19" t="s">
        <v>430</v>
      </c>
      <c r="C65" s="18" t="s">
        <v>43</v>
      </c>
      <c r="D65" s="18" t="s">
        <v>407</v>
      </c>
      <c r="E65" s="18" t="s">
        <v>510</v>
      </c>
      <c r="F65" s="18" t="s">
        <v>554</v>
      </c>
      <c r="G65" s="18" t="s">
        <v>556</v>
      </c>
      <c r="H65" s="14" t="s">
        <v>449</v>
      </c>
      <c r="I65" s="33" t="s">
        <v>424</v>
      </c>
      <c r="J65" s="33" t="s">
        <v>425</v>
      </c>
      <c r="K65" s="33" t="s">
        <v>423</v>
      </c>
      <c r="L65" s="33" t="s">
        <v>44</v>
      </c>
      <c r="M65" s="14" t="s">
        <v>557</v>
      </c>
      <c r="N65" s="14" t="s">
        <v>558</v>
      </c>
      <c r="O65" s="14"/>
      <c r="P65" s="14" t="s">
        <v>1194</v>
      </c>
      <c r="Q65" s="14" t="s">
        <v>1104</v>
      </c>
      <c r="R65" s="14" t="s">
        <v>1133</v>
      </c>
      <c r="S65" s="14" t="s">
        <v>1121</v>
      </c>
      <c r="T65" s="14" t="s">
        <v>1107</v>
      </c>
      <c r="U65" s="14">
        <v>13</v>
      </c>
      <c r="V65" s="35"/>
      <c r="W65" s="14"/>
      <c r="X65" s="14"/>
      <c r="Y65" s="14"/>
      <c r="Z65" s="14"/>
      <c r="AA65" s="14">
        <f t="shared" si="6"/>
        <v>0</v>
      </c>
    </row>
    <row r="66" spans="1:27" x14ac:dyDescent="0.4">
      <c r="A66" s="28" t="s">
        <v>41</v>
      </c>
      <c r="B66" s="19" t="s">
        <v>430</v>
      </c>
      <c r="C66" s="18" t="s">
        <v>43</v>
      </c>
      <c r="D66" s="18" t="s">
        <v>407</v>
      </c>
      <c r="E66" s="18" t="s">
        <v>510</v>
      </c>
      <c r="F66" s="18" t="s">
        <v>571</v>
      </c>
      <c r="G66" s="18" t="s">
        <v>573</v>
      </c>
      <c r="H66" s="14" t="s">
        <v>449</v>
      </c>
      <c r="I66" s="33" t="s">
        <v>424</v>
      </c>
      <c r="J66" s="33" t="s">
        <v>425</v>
      </c>
      <c r="K66" s="33" t="s">
        <v>423</v>
      </c>
      <c r="L66" s="33" t="s">
        <v>44</v>
      </c>
      <c r="M66" s="14" t="s">
        <v>574</v>
      </c>
      <c r="N66" s="14" t="s">
        <v>575</v>
      </c>
      <c r="O66" s="14"/>
      <c r="P66" s="14" t="s">
        <v>1195</v>
      </c>
      <c r="Q66" s="14" t="s">
        <v>1104</v>
      </c>
      <c r="R66" s="14" t="s">
        <v>1133</v>
      </c>
      <c r="S66" s="14" t="s">
        <v>1121</v>
      </c>
      <c r="T66" s="14" t="s">
        <v>1107</v>
      </c>
      <c r="U66" s="14">
        <v>2370</v>
      </c>
      <c r="V66" s="35"/>
      <c r="W66" s="14"/>
      <c r="X66" s="14"/>
      <c r="Y66" s="14"/>
      <c r="Z66" s="14"/>
      <c r="AA66" s="14">
        <f t="shared" si="6"/>
        <v>0</v>
      </c>
    </row>
    <row r="67" spans="1:27" x14ac:dyDescent="0.4">
      <c r="A67" s="28" t="s">
        <v>41</v>
      </c>
      <c r="B67" s="19" t="s">
        <v>430</v>
      </c>
      <c r="C67" s="18" t="s">
        <v>43</v>
      </c>
      <c r="D67" s="18" t="s">
        <v>407</v>
      </c>
      <c r="E67" s="18" t="s">
        <v>510</v>
      </c>
      <c r="F67" s="18" t="s">
        <v>589</v>
      </c>
      <c r="G67" s="18" t="s">
        <v>591</v>
      </c>
      <c r="H67" s="14" t="s">
        <v>449</v>
      </c>
      <c r="I67" s="33" t="s">
        <v>424</v>
      </c>
      <c r="J67" s="33" t="s">
        <v>425</v>
      </c>
      <c r="K67" s="33" t="s">
        <v>423</v>
      </c>
      <c r="L67" s="33" t="s">
        <v>44</v>
      </c>
      <c r="M67" s="14" t="s">
        <v>592</v>
      </c>
      <c r="N67" s="14" t="s">
        <v>593</v>
      </c>
      <c r="O67" s="14"/>
      <c r="P67" s="14" t="s">
        <v>1196</v>
      </c>
      <c r="Q67" s="14" t="s">
        <v>1104</v>
      </c>
      <c r="R67" s="14" t="s">
        <v>1133</v>
      </c>
      <c r="S67" s="14" t="s">
        <v>1121</v>
      </c>
      <c r="T67" s="14" t="s">
        <v>1107</v>
      </c>
      <c r="U67" s="14">
        <v>4</v>
      </c>
      <c r="V67" s="35"/>
      <c r="W67" s="14"/>
      <c r="X67" s="14"/>
      <c r="Y67" s="14"/>
      <c r="Z67" s="14"/>
      <c r="AA67" s="14">
        <f t="shared" si="6"/>
        <v>0</v>
      </c>
    </row>
    <row r="68" spans="1:27" x14ac:dyDescent="0.4">
      <c r="A68" s="28" t="s">
        <v>41</v>
      </c>
      <c r="B68" s="19" t="s">
        <v>430</v>
      </c>
      <c r="C68" s="18" t="s">
        <v>43</v>
      </c>
      <c r="D68" s="18" t="s">
        <v>407</v>
      </c>
      <c r="E68" s="18" t="s">
        <v>427</v>
      </c>
      <c r="F68" s="18" t="s">
        <v>428</v>
      </c>
      <c r="G68" s="18" t="s">
        <v>434</v>
      </c>
      <c r="H68" s="14" t="s">
        <v>47</v>
      </c>
      <c r="I68" s="33" t="s">
        <v>432</v>
      </c>
      <c r="J68" s="33" t="s">
        <v>433</v>
      </c>
      <c r="K68" s="33" t="s">
        <v>431</v>
      </c>
      <c r="L68" s="33" t="s">
        <v>44</v>
      </c>
      <c r="M68" s="14" t="s">
        <v>435</v>
      </c>
      <c r="N68" s="14" t="s">
        <v>436</v>
      </c>
      <c r="O68" s="14"/>
      <c r="P68" s="14" t="s">
        <v>1197</v>
      </c>
      <c r="Q68" s="14" t="s">
        <v>1121</v>
      </c>
      <c r="R68" s="14" t="s">
        <v>1134</v>
      </c>
      <c r="S68" s="14" t="s">
        <v>1121</v>
      </c>
      <c r="T68" s="14" t="s">
        <v>1121</v>
      </c>
      <c r="U68" s="14">
        <v>2</v>
      </c>
      <c r="V68" s="35"/>
      <c r="W68" s="14"/>
      <c r="X68" s="14"/>
      <c r="Y68" s="14"/>
      <c r="Z68" s="14"/>
      <c r="AA68" s="14">
        <f t="shared" si="6"/>
        <v>0</v>
      </c>
    </row>
    <row r="69" spans="1:27" x14ac:dyDescent="0.4">
      <c r="A69" s="28" t="s">
        <v>41</v>
      </c>
      <c r="B69" s="19" t="s">
        <v>430</v>
      </c>
      <c r="C69" s="18" t="s">
        <v>43</v>
      </c>
      <c r="D69" s="18" t="s">
        <v>407</v>
      </c>
      <c r="E69" s="18" t="s">
        <v>481</v>
      </c>
      <c r="F69" s="18" t="s">
        <v>826</v>
      </c>
      <c r="G69" s="18" t="s">
        <v>828</v>
      </c>
      <c r="H69" s="14" t="s">
        <v>47</v>
      </c>
      <c r="I69" s="33" t="s">
        <v>488</v>
      </c>
      <c r="J69" s="33" t="s">
        <v>489</v>
      </c>
      <c r="K69" s="33" t="s">
        <v>487</v>
      </c>
      <c r="L69" s="33" t="s">
        <v>44</v>
      </c>
      <c r="M69" s="14" t="s">
        <v>829</v>
      </c>
      <c r="N69" s="14" t="s">
        <v>830</v>
      </c>
      <c r="O69" s="14"/>
      <c r="P69" s="14" t="s">
        <v>1198</v>
      </c>
      <c r="Q69" s="14" t="s">
        <v>1121</v>
      </c>
      <c r="R69" s="14" t="s">
        <v>1134</v>
      </c>
      <c r="S69" s="14" t="s">
        <v>1121</v>
      </c>
      <c r="T69" s="14" t="s">
        <v>1121</v>
      </c>
      <c r="U69" s="14">
        <v>1</v>
      </c>
      <c r="V69" s="35"/>
      <c r="W69" s="14"/>
      <c r="X69" s="14"/>
      <c r="Y69" s="14"/>
      <c r="Z69" s="14"/>
      <c r="AA69" s="14">
        <f t="shared" si="6"/>
        <v>0</v>
      </c>
    </row>
    <row r="70" spans="1:27" x14ac:dyDescent="0.4">
      <c r="A70" s="28" t="s">
        <v>41</v>
      </c>
      <c r="B70" s="19" t="s">
        <v>430</v>
      </c>
      <c r="C70" s="18" t="s">
        <v>43</v>
      </c>
      <c r="D70" s="18" t="s">
        <v>407</v>
      </c>
      <c r="E70" s="18" t="s">
        <v>621</v>
      </c>
      <c r="F70" s="18" t="s">
        <v>622</v>
      </c>
      <c r="G70" s="18" t="s">
        <v>627</v>
      </c>
      <c r="H70" s="14" t="s">
        <v>626</v>
      </c>
      <c r="I70" s="33" t="s">
        <v>624</v>
      </c>
      <c r="J70" s="33" t="s">
        <v>625</v>
      </c>
      <c r="K70" s="33" t="s">
        <v>44</v>
      </c>
      <c r="L70" s="33" t="s">
        <v>44</v>
      </c>
      <c r="M70" s="14" t="s">
        <v>628</v>
      </c>
      <c r="N70" s="14" t="s">
        <v>629</v>
      </c>
      <c r="O70" s="14"/>
      <c r="P70" s="14" t="s">
        <v>1199</v>
      </c>
      <c r="Q70" s="14" t="s">
        <v>1108</v>
      </c>
      <c r="R70" s="14" t="s">
        <v>1133</v>
      </c>
      <c r="S70" s="14" t="s">
        <v>1121</v>
      </c>
      <c r="T70" s="14" t="s">
        <v>1107</v>
      </c>
      <c r="U70" s="14">
        <v>14</v>
      </c>
      <c r="V70" s="35"/>
      <c r="W70" s="14"/>
      <c r="X70" s="14"/>
      <c r="Y70" s="14"/>
      <c r="Z70" s="14"/>
      <c r="AA70" s="14">
        <f t="shared" si="6"/>
        <v>0</v>
      </c>
    </row>
    <row r="71" spans="1:27" x14ac:dyDescent="0.4">
      <c r="A71" s="28" t="s">
        <v>41</v>
      </c>
      <c r="B71" s="19" t="s">
        <v>430</v>
      </c>
      <c r="C71" s="18" t="s">
        <v>43</v>
      </c>
      <c r="D71" s="18" t="s">
        <v>407</v>
      </c>
      <c r="E71" s="18" t="s">
        <v>643</v>
      </c>
      <c r="F71" s="18" t="s">
        <v>644</v>
      </c>
      <c r="G71" s="18" t="s">
        <v>646</v>
      </c>
      <c r="H71" s="14" t="s">
        <v>449</v>
      </c>
      <c r="I71" s="33" t="s">
        <v>424</v>
      </c>
      <c r="J71" s="33" t="s">
        <v>425</v>
      </c>
      <c r="K71" s="33" t="s">
        <v>423</v>
      </c>
      <c r="L71" s="33" t="s">
        <v>44</v>
      </c>
      <c r="M71" s="14" t="s">
        <v>647</v>
      </c>
      <c r="N71" s="14" t="s">
        <v>648</v>
      </c>
      <c r="O71" s="14"/>
      <c r="P71" s="14" t="s">
        <v>1200</v>
      </c>
      <c r="Q71" s="14" t="s">
        <v>1108</v>
      </c>
      <c r="R71" s="14" t="s">
        <v>1133</v>
      </c>
      <c r="S71" s="14" t="s">
        <v>1121</v>
      </c>
      <c r="T71" s="14" t="s">
        <v>1107</v>
      </c>
      <c r="U71" s="14">
        <v>88</v>
      </c>
      <c r="V71" s="35"/>
      <c r="W71" s="14"/>
      <c r="X71" s="14"/>
      <c r="Y71" s="14"/>
      <c r="Z71" s="14"/>
      <c r="AA71" s="14">
        <f t="shared" si="6"/>
        <v>0</v>
      </c>
    </row>
    <row r="72" spans="1:27" x14ac:dyDescent="0.4">
      <c r="A72" s="28" t="s">
        <v>41</v>
      </c>
      <c r="B72" s="19" t="s">
        <v>430</v>
      </c>
      <c r="C72" s="18" t="s">
        <v>43</v>
      </c>
      <c r="D72" s="18" t="s">
        <v>407</v>
      </c>
      <c r="E72" s="18" t="s">
        <v>688</v>
      </c>
      <c r="F72" s="18" t="s">
        <v>697</v>
      </c>
      <c r="G72" s="18" t="s">
        <v>699</v>
      </c>
      <c r="H72" s="14" t="s">
        <v>449</v>
      </c>
      <c r="I72" s="33" t="s">
        <v>424</v>
      </c>
      <c r="J72" s="33" t="s">
        <v>425</v>
      </c>
      <c r="K72" s="33" t="s">
        <v>423</v>
      </c>
      <c r="L72" s="33" t="s">
        <v>44</v>
      </c>
      <c r="M72" s="14" t="s">
        <v>700</v>
      </c>
      <c r="N72" s="14" t="s">
        <v>701</v>
      </c>
      <c r="O72" s="14"/>
      <c r="P72" s="14" t="s">
        <v>1201</v>
      </c>
      <c r="Q72" s="14" t="s">
        <v>1108</v>
      </c>
      <c r="R72" s="14" t="s">
        <v>1133</v>
      </c>
      <c r="S72" s="14" t="s">
        <v>1116</v>
      </c>
      <c r="T72" s="14" t="s">
        <v>1106</v>
      </c>
      <c r="U72" s="14">
        <v>10</v>
      </c>
      <c r="V72" s="35"/>
      <c r="W72" s="14"/>
      <c r="X72" s="14"/>
      <c r="Y72" s="14"/>
      <c r="Z72" s="14"/>
      <c r="AA72" s="14">
        <f t="shared" si="6"/>
        <v>0</v>
      </c>
    </row>
    <row r="73" spans="1:27" x14ac:dyDescent="0.4">
      <c r="A73" s="28" t="s">
        <v>41</v>
      </c>
      <c r="B73" s="19" t="s">
        <v>430</v>
      </c>
      <c r="C73" s="18" t="s">
        <v>43</v>
      </c>
      <c r="D73" s="18" t="s">
        <v>407</v>
      </c>
      <c r="E73" s="18" t="s">
        <v>494</v>
      </c>
      <c r="F73" s="18" t="s">
        <v>495</v>
      </c>
      <c r="G73" s="18" t="s">
        <v>497</v>
      </c>
      <c r="H73" s="14" t="s">
        <v>449</v>
      </c>
      <c r="I73" s="33" t="s">
        <v>424</v>
      </c>
      <c r="J73" s="33" t="s">
        <v>425</v>
      </c>
      <c r="K73" s="33" t="s">
        <v>423</v>
      </c>
      <c r="L73" s="33" t="s">
        <v>44</v>
      </c>
      <c r="M73" s="14" t="s">
        <v>498</v>
      </c>
      <c r="N73" s="14" t="s">
        <v>499</v>
      </c>
      <c r="O73" s="14"/>
      <c r="P73" s="14" t="s">
        <v>1202</v>
      </c>
      <c r="Q73" s="14" t="s">
        <v>1108</v>
      </c>
      <c r="R73" s="14" t="s">
        <v>1133</v>
      </c>
      <c r="S73" s="14" t="s">
        <v>1121</v>
      </c>
      <c r="T73" s="14" t="s">
        <v>1106</v>
      </c>
      <c r="U73" s="14">
        <v>39</v>
      </c>
      <c r="V73" s="35"/>
      <c r="W73" s="14"/>
      <c r="X73" s="14"/>
      <c r="Y73" s="14"/>
      <c r="Z73" s="14"/>
      <c r="AA73" s="14">
        <f t="shared" si="6"/>
        <v>0</v>
      </c>
    </row>
    <row r="74" spans="1:27" x14ac:dyDescent="0.4">
      <c r="A74" s="28" t="s">
        <v>41</v>
      </c>
      <c r="B74" s="19" t="s">
        <v>430</v>
      </c>
      <c r="C74" s="18" t="s">
        <v>43</v>
      </c>
      <c r="D74" s="18" t="s">
        <v>407</v>
      </c>
      <c r="E74" s="18" t="s">
        <v>494</v>
      </c>
      <c r="F74" s="18" t="s">
        <v>500</v>
      </c>
      <c r="G74" s="18" t="s">
        <v>502</v>
      </c>
      <c r="H74" s="14" t="s">
        <v>449</v>
      </c>
      <c r="I74" s="33" t="s">
        <v>424</v>
      </c>
      <c r="J74" s="33" t="s">
        <v>425</v>
      </c>
      <c r="K74" s="33" t="s">
        <v>423</v>
      </c>
      <c r="L74" s="33" t="s">
        <v>44</v>
      </c>
      <c r="M74" s="14" t="s">
        <v>503</v>
      </c>
      <c r="N74" s="14" t="s">
        <v>504</v>
      </c>
      <c r="O74" s="14"/>
      <c r="P74" s="14" t="s">
        <v>1203</v>
      </c>
      <c r="Q74" s="14" t="s">
        <v>1108</v>
      </c>
      <c r="R74" s="14" t="s">
        <v>1133</v>
      </c>
      <c r="S74" s="14" t="s">
        <v>1121</v>
      </c>
      <c r="T74" s="14" t="s">
        <v>1106</v>
      </c>
      <c r="U74" s="14">
        <v>39</v>
      </c>
      <c r="V74" s="35"/>
      <c r="W74" s="14"/>
      <c r="X74" s="14"/>
      <c r="Y74" s="14"/>
      <c r="Z74" s="14"/>
      <c r="AA74" s="14">
        <f t="shared" si="6"/>
        <v>0</v>
      </c>
    </row>
    <row r="75" spans="1:27" x14ac:dyDescent="0.4">
      <c r="A75" s="28" t="s">
        <v>41</v>
      </c>
      <c r="B75" s="19" t="s">
        <v>430</v>
      </c>
      <c r="C75" s="18" t="s">
        <v>43</v>
      </c>
      <c r="D75" s="18" t="s">
        <v>407</v>
      </c>
      <c r="E75" s="18" t="s">
        <v>494</v>
      </c>
      <c r="F75" s="18" t="s">
        <v>505</v>
      </c>
      <c r="G75" s="18" t="s">
        <v>507</v>
      </c>
      <c r="H75" s="14" t="s">
        <v>449</v>
      </c>
      <c r="I75" s="33" t="s">
        <v>424</v>
      </c>
      <c r="J75" s="33" t="s">
        <v>425</v>
      </c>
      <c r="K75" s="33" t="s">
        <v>423</v>
      </c>
      <c r="L75" s="33" t="s">
        <v>44</v>
      </c>
      <c r="M75" s="14" t="s">
        <v>508</v>
      </c>
      <c r="N75" s="14" t="s">
        <v>509</v>
      </c>
      <c r="O75" s="14"/>
      <c r="P75" s="14" t="s">
        <v>1204</v>
      </c>
      <c r="Q75" s="14" t="s">
        <v>1108</v>
      </c>
      <c r="R75" s="14" t="s">
        <v>1133</v>
      </c>
      <c r="S75" s="14" t="s">
        <v>1121</v>
      </c>
      <c r="T75" s="14" t="s">
        <v>1106</v>
      </c>
      <c r="U75" s="14">
        <v>39</v>
      </c>
      <c r="V75" s="35"/>
      <c r="W75" s="14"/>
      <c r="X75" s="14"/>
      <c r="Y75" s="14"/>
      <c r="Z75" s="14"/>
      <c r="AA75" s="14">
        <f t="shared" si="6"/>
        <v>0</v>
      </c>
    </row>
    <row r="76" spans="1:27" x14ac:dyDescent="0.4">
      <c r="A76" s="28" t="s">
        <v>41</v>
      </c>
      <c r="B76" s="19" t="s">
        <v>430</v>
      </c>
      <c r="C76" s="18" t="s">
        <v>43</v>
      </c>
      <c r="D76" s="18" t="s">
        <v>407</v>
      </c>
      <c r="E76" s="18" t="s">
        <v>770</v>
      </c>
      <c r="F76" s="18" t="s">
        <v>796</v>
      </c>
      <c r="G76" s="18" t="s">
        <v>798</v>
      </c>
      <c r="H76" s="14" t="s">
        <v>449</v>
      </c>
      <c r="I76" s="33" t="s">
        <v>424</v>
      </c>
      <c r="J76" s="33" t="s">
        <v>425</v>
      </c>
      <c r="K76" s="33" t="s">
        <v>423</v>
      </c>
      <c r="L76" s="33" t="s">
        <v>44</v>
      </c>
      <c r="M76" s="14" t="s">
        <v>799</v>
      </c>
      <c r="N76" s="14" t="s">
        <v>800</v>
      </c>
      <c r="O76" s="14"/>
      <c r="P76" s="14" t="s">
        <v>1205</v>
      </c>
      <c r="Q76" s="14" t="s">
        <v>1108</v>
      </c>
      <c r="R76" s="14" t="s">
        <v>1133</v>
      </c>
      <c r="S76" s="14" t="s">
        <v>1121</v>
      </c>
      <c r="T76" s="14" t="s">
        <v>1107</v>
      </c>
      <c r="U76" s="14">
        <v>207</v>
      </c>
      <c r="V76" s="35"/>
      <c r="W76" s="14"/>
      <c r="X76" s="14"/>
      <c r="Y76" s="14"/>
      <c r="Z76" s="14"/>
      <c r="AA76" s="14">
        <f t="shared" si="6"/>
        <v>0</v>
      </c>
    </row>
    <row r="77" spans="1:27" x14ac:dyDescent="0.4">
      <c r="A77" s="28" t="s">
        <v>41</v>
      </c>
      <c r="B77" s="19" t="s">
        <v>430</v>
      </c>
      <c r="C77" s="18" t="s">
        <v>43</v>
      </c>
      <c r="D77" s="18" t="s">
        <v>407</v>
      </c>
      <c r="E77" s="18" t="s">
        <v>576</v>
      </c>
      <c r="F77" s="18" t="s">
        <v>577</v>
      </c>
      <c r="G77" s="18" t="s">
        <v>579</v>
      </c>
      <c r="H77" s="14" t="s">
        <v>449</v>
      </c>
      <c r="I77" s="33" t="s">
        <v>424</v>
      </c>
      <c r="J77" s="33" t="s">
        <v>425</v>
      </c>
      <c r="K77" s="33" t="s">
        <v>423</v>
      </c>
      <c r="L77" s="33" t="s">
        <v>44</v>
      </c>
      <c r="M77" s="14" t="s">
        <v>580</v>
      </c>
      <c r="N77" s="14" t="s">
        <v>581</v>
      </c>
      <c r="O77" s="14"/>
      <c r="P77" s="14" t="s">
        <v>1206</v>
      </c>
      <c r="Q77" s="14" t="s">
        <v>1104</v>
      </c>
      <c r="R77" s="14" t="s">
        <v>1133</v>
      </c>
      <c r="S77" s="14" t="s">
        <v>1121</v>
      </c>
      <c r="T77" s="14" t="s">
        <v>1106</v>
      </c>
      <c r="U77" s="14">
        <v>24</v>
      </c>
      <c r="V77" s="35"/>
      <c r="W77" s="14"/>
      <c r="X77" s="14"/>
      <c r="Y77" s="14"/>
      <c r="Z77" s="14"/>
      <c r="AA77" s="14">
        <f t="shared" si="6"/>
        <v>0</v>
      </c>
    </row>
    <row r="78" spans="1:27" x14ac:dyDescent="0.4">
      <c r="A78" s="28" t="s">
        <v>41</v>
      </c>
      <c r="B78" s="19" t="s">
        <v>430</v>
      </c>
      <c r="C78" s="18" t="s">
        <v>43</v>
      </c>
      <c r="D78" s="18" t="s">
        <v>407</v>
      </c>
      <c r="E78" s="18" t="s">
        <v>720</v>
      </c>
      <c r="F78" s="18" t="s">
        <v>721</v>
      </c>
      <c r="G78" s="18" t="s">
        <v>723</v>
      </c>
      <c r="H78" s="14" t="s">
        <v>449</v>
      </c>
      <c r="I78" s="33" t="s">
        <v>424</v>
      </c>
      <c r="J78" s="33" t="s">
        <v>425</v>
      </c>
      <c r="K78" s="33" t="s">
        <v>423</v>
      </c>
      <c r="L78" s="33" t="s">
        <v>44</v>
      </c>
      <c r="M78" s="14" t="s">
        <v>724</v>
      </c>
      <c r="N78" s="14" t="s">
        <v>725</v>
      </c>
      <c r="O78" s="14"/>
      <c r="P78" s="14" t="s">
        <v>1207</v>
      </c>
      <c r="Q78" s="14" t="s">
        <v>1121</v>
      </c>
      <c r="R78" s="14" t="s">
        <v>1134</v>
      </c>
      <c r="S78" s="14" t="s">
        <v>1121</v>
      </c>
      <c r="T78" s="14" t="s">
        <v>1121</v>
      </c>
      <c r="U78" s="14">
        <v>20</v>
      </c>
      <c r="V78" s="35"/>
      <c r="W78" s="14"/>
      <c r="X78" s="14"/>
      <c r="Y78" s="14"/>
      <c r="Z78" s="14"/>
      <c r="AA78" s="14">
        <f t="shared" si="6"/>
        <v>0</v>
      </c>
    </row>
    <row r="79" spans="1:27" x14ac:dyDescent="0.4">
      <c r="A79" s="28" t="s">
        <v>41</v>
      </c>
      <c r="B79" s="19" t="s">
        <v>430</v>
      </c>
      <c r="C79" s="18" t="s">
        <v>43</v>
      </c>
      <c r="D79" s="18" t="s">
        <v>407</v>
      </c>
      <c r="E79" s="18" t="s">
        <v>921</v>
      </c>
      <c r="F79" s="18" t="s">
        <v>922</v>
      </c>
      <c r="G79" s="18" t="s">
        <v>926</v>
      </c>
      <c r="H79" s="14" t="s">
        <v>925</v>
      </c>
      <c r="I79" s="33" t="s">
        <v>924</v>
      </c>
      <c r="J79" s="33" t="s">
        <v>44</v>
      </c>
      <c r="K79" s="33" t="s">
        <v>44</v>
      </c>
      <c r="L79" s="33" t="s">
        <v>44</v>
      </c>
      <c r="M79" s="14" t="s">
        <v>927</v>
      </c>
      <c r="N79" s="14" t="s">
        <v>928</v>
      </c>
      <c r="O79" s="14"/>
      <c r="P79" s="14" t="s">
        <v>1208</v>
      </c>
      <c r="Q79" s="14" t="s">
        <v>1121</v>
      </c>
      <c r="R79" s="14" t="s">
        <v>1134</v>
      </c>
      <c r="S79" s="14" t="s">
        <v>1121</v>
      </c>
      <c r="T79" s="14" t="s">
        <v>1121</v>
      </c>
      <c r="U79" s="14">
        <v>43</v>
      </c>
      <c r="V79" s="35"/>
      <c r="W79" s="14"/>
      <c r="X79" s="14"/>
      <c r="Y79" s="14"/>
      <c r="Z79" s="14"/>
      <c r="AA79" s="14">
        <f t="shared" ref="AA79:AA115" si="7">SUM(Y79:Z79)</f>
        <v>0</v>
      </c>
    </row>
    <row r="80" spans="1:27" x14ac:dyDescent="0.4">
      <c r="A80" s="28" t="s">
        <v>41</v>
      </c>
      <c r="B80" s="19" t="s">
        <v>430</v>
      </c>
      <c r="C80" s="18" t="s">
        <v>43</v>
      </c>
      <c r="D80" s="18" t="s">
        <v>407</v>
      </c>
      <c r="E80" s="18" t="s">
        <v>921</v>
      </c>
      <c r="F80" s="18" t="s">
        <v>929</v>
      </c>
      <c r="G80" s="18" t="s">
        <v>926</v>
      </c>
      <c r="H80" s="14" t="s">
        <v>925</v>
      </c>
      <c r="I80" s="33" t="s">
        <v>924</v>
      </c>
      <c r="J80" s="33" t="s">
        <v>44</v>
      </c>
      <c r="K80" s="33" t="s">
        <v>44</v>
      </c>
      <c r="L80" s="33" t="s">
        <v>44</v>
      </c>
      <c r="M80" s="14" t="s">
        <v>931</v>
      </c>
      <c r="N80" s="14" t="s">
        <v>932</v>
      </c>
      <c r="O80" s="14"/>
      <c r="P80" s="14" t="s">
        <v>1209</v>
      </c>
      <c r="Q80" s="14" t="s">
        <v>1121</v>
      </c>
      <c r="R80" s="14" t="s">
        <v>1134</v>
      </c>
      <c r="S80" s="14" t="s">
        <v>1121</v>
      </c>
      <c r="T80" s="14" t="s">
        <v>1121</v>
      </c>
      <c r="U80" s="14">
        <v>43</v>
      </c>
      <c r="V80" s="35"/>
      <c r="W80" s="14"/>
      <c r="X80" s="14"/>
      <c r="Y80" s="14"/>
      <c r="Z80" s="14"/>
      <c r="AA80" s="14">
        <f t="shared" si="7"/>
        <v>0</v>
      </c>
    </row>
    <row r="81" spans="1:27" x14ac:dyDescent="0.4">
      <c r="A81" s="28" t="s">
        <v>41</v>
      </c>
      <c r="B81" s="19" t="s">
        <v>430</v>
      </c>
      <c r="C81" s="18" t="s">
        <v>43</v>
      </c>
      <c r="D81" s="18" t="s">
        <v>407</v>
      </c>
      <c r="E81" s="18" t="s">
        <v>786</v>
      </c>
      <c r="F81" s="18" t="s">
        <v>1005</v>
      </c>
      <c r="G81" s="18" t="s">
        <v>1007</v>
      </c>
      <c r="H81" s="14" t="s">
        <v>449</v>
      </c>
      <c r="I81" s="33" t="s">
        <v>424</v>
      </c>
      <c r="J81" s="33" t="s">
        <v>425</v>
      </c>
      <c r="K81" s="33" t="s">
        <v>423</v>
      </c>
      <c r="L81" s="33" t="s">
        <v>44</v>
      </c>
      <c r="M81" s="14" t="s">
        <v>1008</v>
      </c>
      <c r="N81" s="14" t="s">
        <v>1009</v>
      </c>
      <c r="O81" s="14"/>
      <c r="P81" s="14" t="s">
        <v>1210</v>
      </c>
      <c r="Q81" s="14" t="s">
        <v>1121</v>
      </c>
      <c r="R81" s="14" t="s">
        <v>1134</v>
      </c>
      <c r="S81" s="14" t="s">
        <v>1121</v>
      </c>
      <c r="T81" s="14" t="s">
        <v>1121</v>
      </c>
      <c r="U81" s="14">
        <v>7</v>
      </c>
      <c r="V81" s="35"/>
      <c r="W81" s="14"/>
      <c r="X81" s="14"/>
      <c r="Y81" s="14"/>
      <c r="Z81" s="14"/>
      <c r="AA81" s="14">
        <f t="shared" si="7"/>
        <v>0</v>
      </c>
    </row>
    <row r="82" spans="1:27" x14ac:dyDescent="0.4">
      <c r="A82" s="28" t="s">
        <v>41</v>
      </c>
      <c r="B82" s="19" t="s">
        <v>430</v>
      </c>
      <c r="C82" s="18" t="s">
        <v>43</v>
      </c>
      <c r="D82" s="18" t="s">
        <v>407</v>
      </c>
      <c r="E82" s="18" t="s">
        <v>766</v>
      </c>
      <c r="F82" s="18" t="s">
        <v>1079</v>
      </c>
      <c r="G82" s="18" t="s">
        <v>627</v>
      </c>
      <c r="H82" s="14" t="s">
        <v>626</v>
      </c>
      <c r="I82" s="33" t="s">
        <v>624</v>
      </c>
      <c r="J82" s="33" t="s">
        <v>625</v>
      </c>
      <c r="K82" s="33" t="s">
        <v>44</v>
      </c>
      <c r="L82" s="33" t="s">
        <v>44</v>
      </c>
      <c r="M82" s="14" t="s">
        <v>1081</v>
      </c>
      <c r="N82" s="14" t="s">
        <v>1082</v>
      </c>
      <c r="O82" s="14"/>
      <c r="P82" s="14" t="s">
        <v>1211</v>
      </c>
      <c r="Q82" s="14" t="s">
        <v>1121</v>
      </c>
      <c r="R82" s="14" t="s">
        <v>1134</v>
      </c>
      <c r="S82" s="14" t="s">
        <v>1121</v>
      </c>
      <c r="T82" s="14" t="s">
        <v>1121</v>
      </c>
      <c r="U82" s="14">
        <v>25</v>
      </c>
      <c r="V82" s="35"/>
      <c r="W82" s="14"/>
      <c r="X82" s="14"/>
      <c r="Y82" s="14"/>
      <c r="Z82" s="14"/>
      <c r="AA82" s="14">
        <f t="shared" si="7"/>
        <v>0</v>
      </c>
    </row>
    <row r="83" spans="1:27" x14ac:dyDescent="0.4">
      <c r="A83" s="28" t="s">
        <v>41</v>
      </c>
      <c r="B83" s="15" t="s">
        <v>1130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>
        <v>6014</v>
      </c>
      <c r="V83" s="15"/>
      <c r="W83" s="15"/>
      <c r="X83" s="15"/>
      <c r="Y83" s="15"/>
      <c r="Z83" s="15"/>
      <c r="AA83" s="15">
        <f t="shared" si="7"/>
        <v>0</v>
      </c>
    </row>
    <row r="84" spans="1:27" ht="18" thickBot="1" x14ac:dyDescent="0.45">
      <c r="A84" s="29" t="s">
        <v>41</v>
      </c>
      <c r="B84" s="25" t="s">
        <v>1131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 t="s">
        <v>1140</v>
      </c>
      <c r="Q84" s="26"/>
      <c r="R84" s="26"/>
      <c r="S84" s="26"/>
      <c r="T84" s="26"/>
      <c r="U84" s="26">
        <v>42583</v>
      </c>
      <c r="V84" s="36"/>
      <c r="W84" s="26"/>
      <c r="X84" s="26"/>
      <c r="Y84" s="26"/>
      <c r="Z84" s="26"/>
      <c r="AA84" s="26">
        <f t="shared" si="7"/>
        <v>0</v>
      </c>
    </row>
    <row r="85" spans="1:27" x14ac:dyDescent="0.4">
      <c r="A85" s="30" t="s">
        <v>250</v>
      </c>
      <c r="B85" s="20" t="s">
        <v>225</v>
      </c>
      <c r="C85" s="21" t="s">
        <v>251</v>
      </c>
      <c r="D85" s="21" t="s">
        <v>90</v>
      </c>
      <c r="E85" s="21" t="s">
        <v>108</v>
      </c>
      <c r="F85" s="21" t="s">
        <v>244</v>
      </c>
      <c r="G85" s="21" t="s">
        <v>258</v>
      </c>
      <c r="H85" s="14" t="s">
        <v>256</v>
      </c>
      <c r="I85" s="33" t="s">
        <v>253</v>
      </c>
      <c r="J85" s="33" t="s">
        <v>255</v>
      </c>
      <c r="K85" s="33" t="s">
        <v>252</v>
      </c>
      <c r="L85" s="33" t="s">
        <v>254</v>
      </c>
      <c r="M85" s="14" t="s">
        <v>259</v>
      </c>
      <c r="N85" s="14" t="s">
        <v>260</v>
      </c>
      <c r="O85" s="14" t="s">
        <v>1241</v>
      </c>
      <c r="P85" s="14" t="s">
        <v>1212</v>
      </c>
      <c r="Q85" s="14" t="s">
        <v>1121</v>
      </c>
      <c r="R85" s="14" t="s">
        <v>1134</v>
      </c>
      <c r="S85" s="14" t="s">
        <v>1121</v>
      </c>
      <c r="T85" s="14" t="s">
        <v>1121</v>
      </c>
      <c r="U85" s="14">
        <v>1</v>
      </c>
      <c r="V85" s="35">
        <v>0.2</v>
      </c>
      <c r="W85" s="14" t="s">
        <v>1286</v>
      </c>
      <c r="X85" s="14" t="s">
        <v>1287</v>
      </c>
      <c r="Y85" s="14">
        <v>3</v>
      </c>
      <c r="Z85" s="14">
        <v>0.5</v>
      </c>
      <c r="AA85" s="14">
        <f t="shared" si="7"/>
        <v>3.5</v>
      </c>
    </row>
    <row r="86" spans="1:27" x14ac:dyDescent="0.4">
      <c r="A86" s="31" t="s">
        <v>250</v>
      </c>
      <c r="B86" s="19" t="s">
        <v>225</v>
      </c>
      <c r="C86" s="18" t="s">
        <v>251</v>
      </c>
      <c r="D86" s="18" t="s">
        <v>90</v>
      </c>
      <c r="E86" s="18" t="s">
        <v>297</v>
      </c>
      <c r="F86" s="18" t="s">
        <v>298</v>
      </c>
      <c r="G86" s="18" t="s">
        <v>258</v>
      </c>
      <c r="H86" s="14" t="s">
        <v>307</v>
      </c>
      <c r="I86" s="33" t="s">
        <v>304</v>
      </c>
      <c r="J86" s="33" t="s">
        <v>306</v>
      </c>
      <c r="K86" s="33" t="s">
        <v>303</v>
      </c>
      <c r="L86" s="33" t="s">
        <v>305</v>
      </c>
      <c r="M86" s="14" t="s">
        <v>308</v>
      </c>
      <c r="N86" s="14" t="s">
        <v>309</v>
      </c>
      <c r="O86" s="14" t="s">
        <v>1241</v>
      </c>
      <c r="P86" s="14" t="s">
        <v>1213</v>
      </c>
      <c r="Q86" s="14" t="s">
        <v>1121</v>
      </c>
      <c r="R86" s="14" t="s">
        <v>1134</v>
      </c>
      <c r="S86" s="14" t="s">
        <v>1121</v>
      </c>
      <c r="T86" s="14" t="s">
        <v>1121</v>
      </c>
      <c r="U86" s="14">
        <v>95294</v>
      </c>
      <c r="V86" s="35">
        <v>0.1</v>
      </c>
      <c r="W86" s="14" t="s">
        <v>1288</v>
      </c>
      <c r="X86" s="14" t="s">
        <v>1289</v>
      </c>
      <c r="Y86" s="14">
        <v>237</v>
      </c>
      <c r="Z86" s="14">
        <v>1</v>
      </c>
      <c r="AA86" s="14">
        <f t="shared" si="7"/>
        <v>238</v>
      </c>
    </row>
    <row r="87" spans="1:27" x14ac:dyDescent="0.4">
      <c r="A87" s="31" t="s">
        <v>250</v>
      </c>
      <c r="B87" s="15" t="s">
        <v>1122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>
        <v>95295</v>
      </c>
      <c r="V87" s="15"/>
      <c r="W87" s="15"/>
      <c r="X87" s="15"/>
      <c r="Y87" s="15">
        <v>240</v>
      </c>
      <c r="Z87" s="15">
        <v>1.5</v>
      </c>
      <c r="AA87" s="15">
        <f t="shared" si="7"/>
        <v>241.5</v>
      </c>
    </row>
    <row r="88" spans="1:27" x14ac:dyDescent="0.4">
      <c r="A88" s="31" t="s">
        <v>250</v>
      </c>
      <c r="B88" s="19" t="s">
        <v>175</v>
      </c>
      <c r="C88" s="18" t="s">
        <v>251</v>
      </c>
      <c r="D88" s="18" t="s">
        <v>36</v>
      </c>
      <c r="E88" s="18" t="s">
        <v>336</v>
      </c>
      <c r="F88" s="18" t="s">
        <v>337</v>
      </c>
      <c r="G88" s="18" t="s">
        <v>258</v>
      </c>
      <c r="H88" s="14" t="s">
        <v>256</v>
      </c>
      <c r="I88" s="33" t="s">
        <v>344</v>
      </c>
      <c r="J88" s="33" t="s">
        <v>346</v>
      </c>
      <c r="K88" s="33" t="s">
        <v>343</v>
      </c>
      <c r="L88" s="33" t="s">
        <v>345</v>
      </c>
      <c r="M88" s="14" t="s">
        <v>347</v>
      </c>
      <c r="N88" s="14" t="s">
        <v>348</v>
      </c>
      <c r="O88" s="14" t="s">
        <v>1239</v>
      </c>
      <c r="P88" s="14" t="s">
        <v>1214</v>
      </c>
      <c r="Q88" s="14" t="s">
        <v>1104</v>
      </c>
      <c r="R88" s="14" t="s">
        <v>1105</v>
      </c>
      <c r="S88" s="14" t="s">
        <v>1121</v>
      </c>
      <c r="T88" s="14" t="s">
        <v>1106</v>
      </c>
      <c r="U88" s="14">
        <v>26</v>
      </c>
      <c r="V88" s="35">
        <v>0.8</v>
      </c>
      <c r="W88" s="14" t="s">
        <v>1290</v>
      </c>
      <c r="X88" s="14" t="s">
        <v>1291</v>
      </c>
      <c r="Y88" s="14">
        <v>0.1</v>
      </c>
      <c r="Z88" s="14">
        <v>0.3</v>
      </c>
      <c r="AA88" s="14">
        <f t="shared" si="7"/>
        <v>0.4</v>
      </c>
    </row>
    <row r="89" spans="1:27" x14ac:dyDescent="0.4">
      <c r="A89" s="31" t="s">
        <v>250</v>
      </c>
      <c r="B89" s="15" t="s">
        <v>1123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>
        <v>26</v>
      </c>
      <c r="V89" s="15"/>
      <c r="W89" s="15"/>
      <c r="X89" s="15"/>
      <c r="Y89" s="15">
        <v>0.1</v>
      </c>
      <c r="Z89" s="15">
        <v>0.3</v>
      </c>
      <c r="AA89" s="15">
        <f t="shared" si="7"/>
        <v>0.4</v>
      </c>
    </row>
    <row r="90" spans="1:27" x14ac:dyDescent="0.4">
      <c r="A90" s="31" t="s">
        <v>250</v>
      </c>
      <c r="B90" s="19" t="s">
        <v>42</v>
      </c>
      <c r="C90" s="18" t="s">
        <v>251</v>
      </c>
      <c r="D90" s="18" t="s">
        <v>563</v>
      </c>
      <c r="E90" s="18" t="s">
        <v>688</v>
      </c>
      <c r="F90" s="18" t="s">
        <v>689</v>
      </c>
      <c r="G90" s="18" t="s">
        <v>258</v>
      </c>
      <c r="H90" s="14" t="s">
        <v>256</v>
      </c>
      <c r="I90" s="33" t="s">
        <v>692</v>
      </c>
      <c r="J90" s="33" t="s">
        <v>694</v>
      </c>
      <c r="K90" s="33" t="s">
        <v>691</v>
      </c>
      <c r="L90" s="33" t="s">
        <v>693</v>
      </c>
      <c r="M90" s="14" t="s">
        <v>695</v>
      </c>
      <c r="N90" s="14" t="s">
        <v>696</v>
      </c>
      <c r="O90" s="14" t="s">
        <v>1239</v>
      </c>
      <c r="P90" s="14" t="s">
        <v>1215</v>
      </c>
      <c r="Q90" s="14" t="s">
        <v>1108</v>
      </c>
      <c r="R90" s="14" t="s">
        <v>1109</v>
      </c>
      <c r="S90" s="14" t="s">
        <v>1115</v>
      </c>
      <c r="T90" s="14" t="s">
        <v>1106</v>
      </c>
      <c r="U90" s="14">
        <v>10</v>
      </c>
      <c r="V90" s="35">
        <v>0.6</v>
      </c>
      <c r="W90" s="14" t="s">
        <v>1292</v>
      </c>
      <c r="X90" s="14" t="s">
        <v>1293</v>
      </c>
      <c r="Y90" s="14">
        <v>0.1</v>
      </c>
      <c r="Z90" s="14">
        <v>0.5</v>
      </c>
      <c r="AA90" s="14">
        <f t="shared" si="7"/>
        <v>0.6</v>
      </c>
    </row>
    <row r="91" spans="1:27" x14ac:dyDescent="0.4">
      <c r="A91" s="31" t="s">
        <v>250</v>
      </c>
      <c r="B91" s="19" t="s">
        <v>42</v>
      </c>
      <c r="C91" s="18" t="s">
        <v>251</v>
      </c>
      <c r="D91" s="18" t="s">
        <v>563</v>
      </c>
      <c r="E91" s="18" t="s">
        <v>688</v>
      </c>
      <c r="F91" s="18" t="s">
        <v>1090</v>
      </c>
      <c r="G91" s="18" t="s">
        <v>258</v>
      </c>
      <c r="H91" s="14" t="s">
        <v>256</v>
      </c>
      <c r="I91" s="33" t="s">
        <v>1093</v>
      </c>
      <c r="J91" s="33" t="s">
        <v>1095</v>
      </c>
      <c r="K91" s="33" t="s">
        <v>1092</v>
      </c>
      <c r="L91" s="33" t="s">
        <v>1094</v>
      </c>
      <c r="M91" s="14" t="s">
        <v>1096</v>
      </c>
      <c r="N91" s="14" t="s">
        <v>1097</v>
      </c>
      <c r="O91" s="14" t="s">
        <v>1240</v>
      </c>
      <c r="P91" s="14" t="s">
        <v>1216</v>
      </c>
      <c r="Q91" s="14" t="s">
        <v>1108</v>
      </c>
      <c r="R91" s="14" t="s">
        <v>1134</v>
      </c>
      <c r="S91" s="14" t="s">
        <v>1121</v>
      </c>
      <c r="T91" s="14" t="s">
        <v>1106</v>
      </c>
      <c r="U91" s="14">
        <v>12</v>
      </c>
      <c r="V91" s="35">
        <v>0.4</v>
      </c>
      <c r="W91" s="14" t="s">
        <v>1294</v>
      </c>
      <c r="X91" s="14" t="s">
        <v>1295</v>
      </c>
      <c r="Y91" s="14">
        <v>0.3</v>
      </c>
      <c r="Z91" s="14">
        <v>0.5</v>
      </c>
      <c r="AA91" s="14">
        <f t="shared" si="7"/>
        <v>0.8</v>
      </c>
    </row>
    <row r="92" spans="1:27" x14ac:dyDescent="0.4">
      <c r="A92" s="31" t="s">
        <v>250</v>
      </c>
      <c r="B92" s="15" t="s">
        <v>1124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>
        <v>22</v>
      </c>
      <c r="V92" s="15"/>
      <c r="W92" s="15"/>
      <c r="X92" s="15"/>
      <c r="Y92" s="15">
        <v>0.4</v>
      </c>
      <c r="Z92" s="15">
        <v>1</v>
      </c>
      <c r="AA92" s="15">
        <f t="shared" si="7"/>
        <v>1.4</v>
      </c>
    </row>
    <row r="93" spans="1:27" x14ac:dyDescent="0.4">
      <c r="A93" s="31" t="s">
        <v>250</v>
      </c>
      <c r="B93" s="19" t="s">
        <v>211</v>
      </c>
      <c r="C93" s="18" t="s">
        <v>251</v>
      </c>
      <c r="D93" s="18" t="s">
        <v>520</v>
      </c>
      <c r="E93" s="18" t="s">
        <v>649</v>
      </c>
      <c r="F93" s="18" t="s">
        <v>885</v>
      </c>
      <c r="G93" s="18" t="s">
        <v>258</v>
      </c>
      <c r="H93" s="14" t="s">
        <v>256</v>
      </c>
      <c r="I93" s="33" t="s">
        <v>891</v>
      </c>
      <c r="J93" s="33" t="s">
        <v>893</v>
      </c>
      <c r="K93" s="33" t="s">
        <v>890</v>
      </c>
      <c r="L93" s="33" t="s">
        <v>892</v>
      </c>
      <c r="M93" s="14" t="s">
        <v>895</v>
      </c>
      <c r="N93" s="14" t="s">
        <v>896</v>
      </c>
      <c r="O93" s="14" t="s">
        <v>1241</v>
      </c>
      <c r="P93" s="14" t="s">
        <v>1217</v>
      </c>
      <c r="Q93" s="14" t="s">
        <v>1121</v>
      </c>
      <c r="R93" s="14" t="s">
        <v>1134</v>
      </c>
      <c r="S93" s="14" t="s">
        <v>1121</v>
      </c>
      <c r="T93" s="14" t="s">
        <v>1121</v>
      </c>
      <c r="U93" s="14">
        <v>7</v>
      </c>
      <c r="V93" s="35">
        <v>0.1</v>
      </c>
      <c r="W93" s="14" t="s">
        <v>1296</v>
      </c>
      <c r="X93" s="14" t="s">
        <v>1297</v>
      </c>
      <c r="Y93" s="14">
        <v>0.5</v>
      </c>
      <c r="Z93" s="14">
        <v>0.5</v>
      </c>
      <c r="AA93" s="14">
        <f t="shared" si="7"/>
        <v>1</v>
      </c>
    </row>
    <row r="94" spans="1:27" x14ac:dyDescent="0.4">
      <c r="A94" s="31" t="s">
        <v>250</v>
      </c>
      <c r="B94" s="19" t="s">
        <v>211</v>
      </c>
      <c r="C94" s="18" t="s">
        <v>251</v>
      </c>
      <c r="D94" s="18" t="s">
        <v>520</v>
      </c>
      <c r="E94" s="18" t="s">
        <v>649</v>
      </c>
      <c r="F94" s="18" t="s">
        <v>897</v>
      </c>
      <c r="G94" s="18" t="s">
        <v>258</v>
      </c>
      <c r="H94" s="14" t="s">
        <v>256</v>
      </c>
      <c r="I94" s="33" t="s">
        <v>900</v>
      </c>
      <c r="J94" s="33" t="s">
        <v>902</v>
      </c>
      <c r="K94" s="33" t="s">
        <v>899</v>
      </c>
      <c r="L94" s="33" t="s">
        <v>901</v>
      </c>
      <c r="M94" s="14" t="s">
        <v>903</v>
      </c>
      <c r="N94" s="14" t="s">
        <v>904</v>
      </c>
      <c r="O94" s="14" t="s">
        <v>1241</v>
      </c>
      <c r="P94" s="14" t="s">
        <v>1218</v>
      </c>
      <c r="Q94" s="14" t="s">
        <v>1121</v>
      </c>
      <c r="R94" s="14" t="s">
        <v>1134</v>
      </c>
      <c r="S94" s="14" t="s">
        <v>1121</v>
      </c>
      <c r="T94" s="14" t="s">
        <v>1121</v>
      </c>
      <c r="U94" s="14">
        <v>10</v>
      </c>
      <c r="V94" s="35">
        <v>0.1</v>
      </c>
      <c r="W94" s="14" t="s">
        <v>1298</v>
      </c>
      <c r="X94" s="14" t="s">
        <v>1299</v>
      </c>
      <c r="Y94" s="14">
        <v>0.5</v>
      </c>
      <c r="Z94" s="14">
        <v>0.5</v>
      </c>
      <c r="AA94" s="14">
        <f t="shared" si="7"/>
        <v>1</v>
      </c>
    </row>
    <row r="95" spans="1:27" x14ac:dyDescent="0.4">
      <c r="A95" s="31" t="s">
        <v>250</v>
      </c>
      <c r="B95" s="19" t="s">
        <v>211</v>
      </c>
      <c r="C95" s="18" t="s">
        <v>251</v>
      </c>
      <c r="D95" s="18" t="s">
        <v>1027</v>
      </c>
      <c r="E95" s="18" t="s">
        <v>1022</v>
      </c>
      <c r="F95" s="18" t="s">
        <v>1034</v>
      </c>
      <c r="G95" s="18" t="s">
        <v>258</v>
      </c>
      <c r="H95" s="14" t="s">
        <v>307</v>
      </c>
      <c r="I95" s="33" t="s">
        <v>1037</v>
      </c>
      <c r="J95" s="33" t="s">
        <v>1039</v>
      </c>
      <c r="K95" s="33" t="s">
        <v>1036</v>
      </c>
      <c r="L95" s="33" t="s">
        <v>1038</v>
      </c>
      <c r="M95" s="14" t="s">
        <v>1040</v>
      </c>
      <c r="N95" s="14" t="s">
        <v>1041</v>
      </c>
      <c r="O95" s="14" t="s">
        <v>1241</v>
      </c>
      <c r="P95" s="14" t="s">
        <v>1219</v>
      </c>
      <c r="Q95" s="14" t="s">
        <v>1121</v>
      </c>
      <c r="R95" s="14" t="s">
        <v>1134</v>
      </c>
      <c r="S95" s="14" t="s">
        <v>1121</v>
      </c>
      <c r="T95" s="14" t="s">
        <v>1121</v>
      </c>
      <c r="U95" s="14">
        <v>7339</v>
      </c>
      <c r="V95" s="35">
        <v>0.05</v>
      </c>
      <c r="W95" s="14" t="s">
        <v>1300</v>
      </c>
      <c r="X95" s="14" t="s">
        <v>1301</v>
      </c>
      <c r="Y95" s="37" t="s">
        <v>1344</v>
      </c>
      <c r="Z95" s="14">
        <v>10</v>
      </c>
      <c r="AA95" s="14">
        <f t="shared" si="7"/>
        <v>10</v>
      </c>
    </row>
    <row r="96" spans="1:27" x14ac:dyDescent="0.4">
      <c r="A96" s="31" t="s">
        <v>250</v>
      </c>
      <c r="B96" s="15" t="s">
        <v>1125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>
        <v>7356</v>
      </c>
      <c r="V96" s="15"/>
      <c r="W96" s="15"/>
      <c r="X96" s="15"/>
      <c r="Y96" s="15">
        <v>1</v>
      </c>
      <c r="Z96" s="15">
        <v>11</v>
      </c>
      <c r="AA96" s="15">
        <f t="shared" si="7"/>
        <v>12</v>
      </c>
    </row>
    <row r="97" spans="1:27" x14ac:dyDescent="0.4">
      <c r="A97" s="31" t="s">
        <v>250</v>
      </c>
      <c r="B97" s="19" t="s">
        <v>115</v>
      </c>
      <c r="C97" s="18" t="s">
        <v>409</v>
      </c>
      <c r="D97" s="18" t="s">
        <v>407</v>
      </c>
      <c r="E97" s="18" t="s">
        <v>662</v>
      </c>
      <c r="F97" s="18" t="s">
        <v>663</v>
      </c>
      <c r="G97" s="18" t="s">
        <v>669</v>
      </c>
      <c r="H97" s="14" t="s">
        <v>414</v>
      </c>
      <c r="I97" s="33" t="s">
        <v>666</v>
      </c>
      <c r="J97" s="33" t="s">
        <v>668</v>
      </c>
      <c r="K97" s="33" t="s">
        <v>665</v>
      </c>
      <c r="L97" s="33" t="s">
        <v>667</v>
      </c>
      <c r="M97" s="14" t="s">
        <v>670</v>
      </c>
      <c r="N97" s="14" t="s">
        <v>671</v>
      </c>
      <c r="O97" s="14" t="s">
        <v>1302</v>
      </c>
      <c r="P97" s="14" t="s">
        <v>1220</v>
      </c>
      <c r="Q97" s="14" t="s">
        <v>1121</v>
      </c>
      <c r="R97" s="14" t="s">
        <v>1134</v>
      </c>
      <c r="S97" s="14" t="s">
        <v>1121</v>
      </c>
      <c r="T97" s="14" t="s">
        <v>1121</v>
      </c>
      <c r="U97" s="14">
        <v>5157</v>
      </c>
      <c r="V97" s="35">
        <v>0</v>
      </c>
      <c r="W97" s="14" t="s">
        <v>1314</v>
      </c>
      <c r="X97" s="14" t="s">
        <v>1315</v>
      </c>
      <c r="Y97" s="14">
        <v>0</v>
      </c>
      <c r="Z97" s="14">
        <v>0.3</v>
      </c>
      <c r="AA97" s="14">
        <f t="shared" si="7"/>
        <v>0.3</v>
      </c>
    </row>
    <row r="98" spans="1:27" x14ac:dyDescent="0.4">
      <c r="A98" s="31" t="s">
        <v>250</v>
      </c>
      <c r="B98" s="19" t="s">
        <v>115</v>
      </c>
      <c r="C98" s="18" t="s">
        <v>409</v>
      </c>
      <c r="D98" s="18" t="s">
        <v>407</v>
      </c>
      <c r="E98" s="18" t="s">
        <v>662</v>
      </c>
      <c r="F98" s="18" t="s">
        <v>672</v>
      </c>
      <c r="G98" s="18" t="s">
        <v>676</v>
      </c>
      <c r="H98" s="14" t="s">
        <v>414</v>
      </c>
      <c r="I98" s="33" t="s">
        <v>666</v>
      </c>
      <c r="J98" s="33" t="s">
        <v>668</v>
      </c>
      <c r="K98" s="33" t="s">
        <v>674</v>
      </c>
      <c r="L98" s="33" t="s">
        <v>675</v>
      </c>
      <c r="M98" s="14" t="s">
        <v>677</v>
      </c>
      <c r="N98" s="14" t="s">
        <v>678</v>
      </c>
      <c r="O98" s="14" t="s">
        <v>1302</v>
      </c>
      <c r="P98" s="14" t="s">
        <v>1221</v>
      </c>
      <c r="Q98" s="14" t="s">
        <v>1121</v>
      </c>
      <c r="R98" s="14" t="s">
        <v>1134</v>
      </c>
      <c r="S98" s="14" t="s">
        <v>1121</v>
      </c>
      <c r="T98" s="14" t="s">
        <v>1121</v>
      </c>
      <c r="U98" s="14">
        <v>62</v>
      </c>
      <c r="V98" s="35">
        <v>0</v>
      </c>
      <c r="W98" s="14" t="s">
        <v>1316</v>
      </c>
      <c r="X98" s="14" t="s">
        <v>1317</v>
      </c>
      <c r="Y98" s="14">
        <v>0</v>
      </c>
      <c r="Z98" s="14">
        <v>0.2</v>
      </c>
      <c r="AA98" s="14">
        <f t="shared" si="7"/>
        <v>0.2</v>
      </c>
    </row>
    <row r="99" spans="1:27" x14ac:dyDescent="0.4">
      <c r="A99" s="31" t="s">
        <v>250</v>
      </c>
      <c r="B99" s="19" t="s">
        <v>115</v>
      </c>
      <c r="C99" s="18" t="s">
        <v>409</v>
      </c>
      <c r="D99" s="18" t="s">
        <v>407</v>
      </c>
      <c r="E99" s="18" t="s">
        <v>401</v>
      </c>
      <c r="F99" s="18" t="s">
        <v>402</v>
      </c>
      <c r="G99" s="18" t="s">
        <v>416</v>
      </c>
      <c r="H99" s="14" t="s">
        <v>414</v>
      </c>
      <c r="I99" s="33" t="s">
        <v>411</v>
      </c>
      <c r="J99" s="33" t="s">
        <v>413</v>
      </c>
      <c r="K99" s="33" t="s">
        <v>410</v>
      </c>
      <c r="L99" s="33" t="s">
        <v>412</v>
      </c>
      <c r="M99" s="14" t="s">
        <v>417</v>
      </c>
      <c r="N99" s="14" t="s">
        <v>418</v>
      </c>
      <c r="O99" s="14" t="s">
        <v>1302</v>
      </c>
      <c r="P99" s="14" t="s">
        <v>1222</v>
      </c>
      <c r="Q99" s="14" t="s">
        <v>1121</v>
      </c>
      <c r="R99" s="14" t="s">
        <v>1134</v>
      </c>
      <c r="S99" s="14" t="s">
        <v>1121</v>
      </c>
      <c r="T99" s="14" t="s">
        <v>1121</v>
      </c>
      <c r="U99" s="14">
        <v>2522</v>
      </c>
      <c r="V99" s="35">
        <v>0</v>
      </c>
      <c r="W99" s="14" t="s">
        <v>1303</v>
      </c>
      <c r="X99" s="14" t="s">
        <v>1304</v>
      </c>
      <c r="Y99" s="14">
        <v>0</v>
      </c>
      <c r="Z99" s="14">
        <v>0.2</v>
      </c>
      <c r="AA99" s="14">
        <f t="shared" si="7"/>
        <v>0.2</v>
      </c>
    </row>
    <row r="100" spans="1:27" x14ac:dyDescent="0.4">
      <c r="A100" s="31" t="s">
        <v>250</v>
      </c>
      <c r="B100" s="19" t="s">
        <v>115</v>
      </c>
      <c r="C100" s="18" t="s">
        <v>409</v>
      </c>
      <c r="D100" s="18" t="s">
        <v>407</v>
      </c>
      <c r="E100" s="18" t="s">
        <v>401</v>
      </c>
      <c r="F100" s="18" t="s">
        <v>1010</v>
      </c>
      <c r="G100" s="18" t="s">
        <v>1015</v>
      </c>
      <c r="H100" s="14" t="s">
        <v>414</v>
      </c>
      <c r="I100" s="33" t="s">
        <v>1013</v>
      </c>
      <c r="J100" s="33" t="s">
        <v>668</v>
      </c>
      <c r="K100" s="33" t="s">
        <v>1012</v>
      </c>
      <c r="L100" s="33" t="s">
        <v>1014</v>
      </c>
      <c r="M100" s="14" t="s">
        <v>1016</v>
      </c>
      <c r="N100" s="14" t="s">
        <v>1017</v>
      </c>
      <c r="O100" s="14" t="s">
        <v>1302</v>
      </c>
      <c r="P100" s="14" t="s">
        <v>1223</v>
      </c>
      <c r="Q100" s="14" t="s">
        <v>1121</v>
      </c>
      <c r="R100" s="14" t="s">
        <v>1134</v>
      </c>
      <c r="S100" s="14" t="s">
        <v>1121</v>
      </c>
      <c r="T100" s="14" t="s">
        <v>1121</v>
      </c>
      <c r="U100" s="14">
        <v>18</v>
      </c>
      <c r="V100" s="35">
        <v>0</v>
      </c>
      <c r="W100" s="14" t="s">
        <v>1316</v>
      </c>
      <c r="X100" s="14" t="s">
        <v>1317</v>
      </c>
      <c r="Y100" s="14">
        <v>0</v>
      </c>
      <c r="Z100" s="14">
        <v>0.2</v>
      </c>
      <c r="AA100" s="14">
        <f t="shared" si="7"/>
        <v>0.2</v>
      </c>
    </row>
    <row r="101" spans="1:27" x14ac:dyDescent="0.4">
      <c r="A101" s="31" t="s">
        <v>250</v>
      </c>
      <c r="B101" s="19" t="s">
        <v>115</v>
      </c>
      <c r="C101" s="18" t="s">
        <v>251</v>
      </c>
      <c r="D101" s="18" t="s">
        <v>407</v>
      </c>
      <c r="E101" s="18" t="s">
        <v>427</v>
      </c>
      <c r="F101" s="18" t="s">
        <v>600</v>
      </c>
      <c r="G101" s="18" t="s">
        <v>258</v>
      </c>
      <c r="H101" s="14" t="s">
        <v>256</v>
      </c>
      <c r="I101" s="33" t="s">
        <v>603</v>
      </c>
      <c r="J101" s="33" t="s">
        <v>605</v>
      </c>
      <c r="K101" s="33" t="s">
        <v>602</v>
      </c>
      <c r="L101" s="33" t="s">
        <v>604</v>
      </c>
      <c r="M101" s="14" t="s">
        <v>606</v>
      </c>
      <c r="N101" s="14" t="s">
        <v>607</v>
      </c>
      <c r="O101" s="14" t="s">
        <v>1239</v>
      </c>
      <c r="P101" s="14" t="s">
        <v>1224</v>
      </c>
      <c r="Q101" s="14" t="s">
        <v>1121</v>
      </c>
      <c r="R101" s="14" t="s">
        <v>1134</v>
      </c>
      <c r="S101" s="14" t="s">
        <v>1121</v>
      </c>
      <c r="T101" s="14" t="s">
        <v>1121</v>
      </c>
      <c r="U101" s="14">
        <v>3</v>
      </c>
      <c r="V101" s="35">
        <v>0.9</v>
      </c>
      <c r="W101" s="14" t="s">
        <v>1307</v>
      </c>
      <c r="X101" s="14" t="s">
        <v>1308</v>
      </c>
      <c r="Y101" s="14">
        <v>0.1</v>
      </c>
      <c r="Z101" s="14">
        <v>0.2</v>
      </c>
      <c r="AA101" s="14">
        <f t="shared" si="7"/>
        <v>0.30000000000000004</v>
      </c>
    </row>
    <row r="102" spans="1:27" x14ac:dyDescent="0.4">
      <c r="A102" s="31" t="s">
        <v>250</v>
      </c>
      <c r="B102" s="19" t="s">
        <v>115</v>
      </c>
      <c r="C102" s="18" t="s">
        <v>251</v>
      </c>
      <c r="D102" s="18" t="s">
        <v>407</v>
      </c>
      <c r="E102" s="18" t="s">
        <v>427</v>
      </c>
      <c r="F102" s="18" t="s">
        <v>633</v>
      </c>
      <c r="G102" s="18" t="s">
        <v>258</v>
      </c>
      <c r="H102" s="14" t="s">
        <v>256</v>
      </c>
      <c r="I102" s="33" t="s">
        <v>635</v>
      </c>
      <c r="J102" s="33" t="s">
        <v>605</v>
      </c>
      <c r="K102" s="33" t="s">
        <v>634</v>
      </c>
      <c r="L102" s="33" t="s">
        <v>636</v>
      </c>
      <c r="M102" s="14" t="s">
        <v>637</v>
      </c>
      <c r="N102" s="14" t="s">
        <v>638</v>
      </c>
      <c r="O102" s="14" t="s">
        <v>1239</v>
      </c>
      <c r="P102" s="14" t="s">
        <v>1225</v>
      </c>
      <c r="Q102" s="14" t="s">
        <v>1121</v>
      </c>
      <c r="R102" s="14" t="s">
        <v>1134</v>
      </c>
      <c r="S102" s="14" t="s">
        <v>1121</v>
      </c>
      <c r="T102" s="14" t="s">
        <v>1121</v>
      </c>
      <c r="U102" s="14">
        <v>3</v>
      </c>
      <c r="V102" s="35">
        <v>0.9</v>
      </c>
      <c r="W102" s="14" t="s">
        <v>1309</v>
      </c>
      <c r="X102" s="14" t="s">
        <v>1310</v>
      </c>
      <c r="Y102" s="14">
        <v>0.1</v>
      </c>
      <c r="Z102" s="14">
        <v>0.2</v>
      </c>
      <c r="AA102" s="14">
        <f t="shared" si="7"/>
        <v>0.30000000000000004</v>
      </c>
    </row>
    <row r="103" spans="1:27" x14ac:dyDescent="0.4">
      <c r="A103" s="31" t="s">
        <v>250</v>
      </c>
      <c r="B103" s="19" t="s">
        <v>115</v>
      </c>
      <c r="C103" s="18" t="s">
        <v>251</v>
      </c>
      <c r="D103" s="18" t="s">
        <v>407</v>
      </c>
      <c r="E103" s="18" t="s">
        <v>752</v>
      </c>
      <c r="F103" s="18" t="s">
        <v>753</v>
      </c>
      <c r="G103" s="18" t="s">
        <v>258</v>
      </c>
      <c r="H103" s="14" t="s">
        <v>256</v>
      </c>
      <c r="I103" s="33" t="s">
        <v>756</v>
      </c>
      <c r="J103" s="33" t="s">
        <v>758</v>
      </c>
      <c r="K103" s="33" t="s">
        <v>755</v>
      </c>
      <c r="L103" s="33" t="s">
        <v>757</v>
      </c>
      <c r="M103" s="14" t="s">
        <v>759</v>
      </c>
      <c r="N103" s="14" t="s">
        <v>760</v>
      </c>
      <c r="O103" s="14" t="s">
        <v>1239</v>
      </c>
      <c r="P103" s="14" t="s">
        <v>1226</v>
      </c>
      <c r="Q103" s="14" t="s">
        <v>1121</v>
      </c>
      <c r="R103" s="14" t="s">
        <v>1134</v>
      </c>
      <c r="S103" s="14" t="s">
        <v>1121</v>
      </c>
      <c r="T103" s="14" t="s">
        <v>1121</v>
      </c>
      <c r="U103" s="14">
        <v>8</v>
      </c>
      <c r="V103" s="35">
        <v>0.7</v>
      </c>
      <c r="W103" s="14" t="s">
        <v>1320</v>
      </c>
      <c r="X103" s="14" t="s">
        <v>1321</v>
      </c>
      <c r="Y103" s="14">
        <v>0.1</v>
      </c>
      <c r="Z103" s="14">
        <v>0.3</v>
      </c>
      <c r="AA103" s="14">
        <f t="shared" si="7"/>
        <v>0.4</v>
      </c>
    </row>
    <row r="104" spans="1:27" x14ac:dyDescent="0.4">
      <c r="A104" s="31" t="s">
        <v>250</v>
      </c>
      <c r="B104" s="19" t="s">
        <v>115</v>
      </c>
      <c r="C104" s="18" t="s">
        <v>251</v>
      </c>
      <c r="D104" s="18" t="s">
        <v>407</v>
      </c>
      <c r="E104" s="18" t="s">
        <v>807</v>
      </c>
      <c r="F104" s="18" t="s">
        <v>808</v>
      </c>
      <c r="G104" s="18" t="s">
        <v>258</v>
      </c>
      <c r="H104" s="14" t="s">
        <v>307</v>
      </c>
      <c r="I104" s="33" t="s">
        <v>811</v>
      </c>
      <c r="J104" s="33" t="s">
        <v>813</v>
      </c>
      <c r="K104" s="33" t="s">
        <v>810</v>
      </c>
      <c r="L104" s="33" t="s">
        <v>812</v>
      </c>
      <c r="M104" s="14" t="s">
        <v>814</v>
      </c>
      <c r="N104" s="14" t="s">
        <v>815</v>
      </c>
      <c r="O104" s="14" t="s">
        <v>1240</v>
      </c>
      <c r="P104" s="14" t="s">
        <v>1227</v>
      </c>
      <c r="Q104" s="14" t="s">
        <v>1121</v>
      </c>
      <c r="R104" s="14" t="s">
        <v>1134</v>
      </c>
      <c r="S104" s="14" t="s">
        <v>1121</v>
      </c>
      <c r="T104" s="14" t="s">
        <v>1121</v>
      </c>
      <c r="U104" s="14">
        <v>2551</v>
      </c>
      <c r="V104" s="35">
        <v>0.4</v>
      </c>
      <c r="W104" s="14" t="s">
        <v>1326</v>
      </c>
      <c r="X104" s="14" t="s">
        <v>1327</v>
      </c>
      <c r="Y104" s="14">
        <v>30</v>
      </c>
      <c r="Z104" s="14">
        <v>2</v>
      </c>
      <c r="AA104" s="14">
        <f t="shared" si="7"/>
        <v>32</v>
      </c>
    </row>
    <row r="105" spans="1:27" x14ac:dyDescent="0.4">
      <c r="A105" s="31" t="s">
        <v>250</v>
      </c>
      <c r="B105" s="19" t="s">
        <v>115</v>
      </c>
      <c r="C105" s="18" t="s">
        <v>251</v>
      </c>
      <c r="D105" s="18" t="s">
        <v>407</v>
      </c>
      <c r="E105" s="18" t="s">
        <v>679</v>
      </c>
      <c r="F105" s="18" t="s">
        <v>680</v>
      </c>
      <c r="G105" s="18" t="s">
        <v>258</v>
      </c>
      <c r="H105" s="14" t="s">
        <v>307</v>
      </c>
      <c r="I105" s="33" t="s">
        <v>683</v>
      </c>
      <c r="J105" s="33" t="s">
        <v>685</v>
      </c>
      <c r="K105" s="33" t="s">
        <v>682</v>
      </c>
      <c r="L105" s="33" t="s">
        <v>684</v>
      </c>
      <c r="M105" s="14" t="s">
        <v>686</v>
      </c>
      <c r="N105" s="14" t="s">
        <v>687</v>
      </c>
      <c r="O105" s="14" t="s">
        <v>1241</v>
      </c>
      <c r="P105" s="14" t="s">
        <v>1228</v>
      </c>
      <c r="Q105" s="14" t="s">
        <v>1121</v>
      </c>
      <c r="R105" s="14" t="s">
        <v>1134</v>
      </c>
      <c r="S105" s="14" t="s">
        <v>1121</v>
      </c>
      <c r="T105" s="14" t="s">
        <v>1121</v>
      </c>
      <c r="U105" s="14">
        <v>3368</v>
      </c>
      <c r="V105" s="35">
        <v>0.3</v>
      </c>
      <c r="W105" s="14" t="s">
        <v>1318</v>
      </c>
      <c r="X105" s="14" t="s">
        <v>1319</v>
      </c>
      <c r="Y105" s="14">
        <v>67</v>
      </c>
      <c r="Z105" s="14">
        <v>3</v>
      </c>
      <c r="AA105" s="14">
        <f t="shared" si="7"/>
        <v>70</v>
      </c>
    </row>
    <row r="106" spans="1:27" x14ac:dyDescent="0.4">
      <c r="A106" s="31" t="s">
        <v>250</v>
      </c>
      <c r="B106" s="19" t="s">
        <v>115</v>
      </c>
      <c r="C106" s="18" t="s">
        <v>466</v>
      </c>
      <c r="D106" s="18" t="s">
        <v>407</v>
      </c>
      <c r="E106" s="18" t="s">
        <v>510</v>
      </c>
      <c r="F106" s="18" t="s">
        <v>774</v>
      </c>
      <c r="G106" s="18" t="s">
        <v>780</v>
      </c>
      <c r="H106" s="14" t="s">
        <v>471</v>
      </c>
      <c r="I106" s="33" t="s">
        <v>777</v>
      </c>
      <c r="J106" s="33" t="s">
        <v>779</v>
      </c>
      <c r="K106" s="33" t="s">
        <v>776</v>
      </c>
      <c r="L106" s="33" t="s">
        <v>778</v>
      </c>
      <c r="M106" s="14" t="s">
        <v>781</v>
      </c>
      <c r="N106" s="14" t="s">
        <v>782</v>
      </c>
      <c r="O106" s="14" t="s">
        <v>1311</v>
      </c>
      <c r="P106" s="14" t="s">
        <v>1229</v>
      </c>
      <c r="Q106" s="14" t="s">
        <v>1104</v>
      </c>
      <c r="R106" s="14" t="s">
        <v>1133</v>
      </c>
      <c r="S106" s="14" t="s">
        <v>1121</v>
      </c>
      <c r="T106" s="14" t="s">
        <v>1107</v>
      </c>
      <c r="U106" s="14">
        <v>14</v>
      </c>
      <c r="V106" s="35">
        <v>0.95</v>
      </c>
      <c r="W106" s="14" t="s">
        <v>1322</v>
      </c>
      <c r="X106" s="14" t="s">
        <v>1323</v>
      </c>
      <c r="Y106" s="14">
        <v>0.1</v>
      </c>
      <c r="Z106" s="14">
        <v>0.2</v>
      </c>
      <c r="AA106" s="14">
        <f t="shared" si="7"/>
        <v>0.30000000000000004</v>
      </c>
    </row>
    <row r="107" spans="1:27" x14ac:dyDescent="0.4">
      <c r="A107" s="31" t="s">
        <v>250</v>
      </c>
      <c r="B107" s="19" t="s">
        <v>115</v>
      </c>
      <c r="C107" s="18" t="s">
        <v>466</v>
      </c>
      <c r="D107" s="18" t="s">
        <v>407</v>
      </c>
      <c r="E107" s="18" t="s">
        <v>840</v>
      </c>
      <c r="F107" s="18" t="s">
        <v>841</v>
      </c>
      <c r="G107" s="18" t="s">
        <v>847</v>
      </c>
      <c r="H107" s="14" t="s">
        <v>471</v>
      </c>
      <c r="I107" s="33" t="s">
        <v>844</v>
      </c>
      <c r="J107" s="33" t="s">
        <v>846</v>
      </c>
      <c r="K107" s="33" t="s">
        <v>843</v>
      </c>
      <c r="L107" s="33" t="s">
        <v>845</v>
      </c>
      <c r="M107" s="14" t="s">
        <v>848</v>
      </c>
      <c r="N107" s="14" t="s">
        <v>849</v>
      </c>
      <c r="O107" s="14" t="s">
        <v>1239</v>
      </c>
      <c r="P107" s="14" t="s">
        <v>1230</v>
      </c>
      <c r="Q107" s="14" t="s">
        <v>1121</v>
      </c>
      <c r="R107" s="14" t="s">
        <v>1134</v>
      </c>
      <c r="S107" s="14" t="s">
        <v>1121</v>
      </c>
      <c r="T107" s="14" t="s">
        <v>1121</v>
      </c>
      <c r="U107" s="14">
        <v>28</v>
      </c>
      <c r="V107" s="35">
        <v>0.6</v>
      </c>
      <c r="W107" s="14" t="s">
        <v>1332</v>
      </c>
      <c r="X107" s="14" t="s">
        <v>1333</v>
      </c>
      <c r="Y107" s="14">
        <v>0.2</v>
      </c>
      <c r="Z107" s="14">
        <v>0.3</v>
      </c>
      <c r="AA107" s="14">
        <f t="shared" si="7"/>
        <v>0.5</v>
      </c>
    </row>
    <row r="108" spans="1:27" x14ac:dyDescent="0.4">
      <c r="A108" s="31" t="s">
        <v>250</v>
      </c>
      <c r="B108" s="19" t="s">
        <v>115</v>
      </c>
      <c r="C108" s="18" t="s">
        <v>466</v>
      </c>
      <c r="D108" s="18" t="s">
        <v>407</v>
      </c>
      <c r="E108" s="18" t="s">
        <v>816</v>
      </c>
      <c r="F108" s="18" t="s">
        <v>817</v>
      </c>
      <c r="G108" s="18" t="s">
        <v>823</v>
      </c>
      <c r="H108" s="14" t="s">
        <v>471</v>
      </c>
      <c r="I108" s="33" t="s">
        <v>820</v>
      </c>
      <c r="J108" s="33" t="s">
        <v>822</v>
      </c>
      <c r="K108" s="33" t="s">
        <v>819</v>
      </c>
      <c r="L108" s="33" t="s">
        <v>821</v>
      </c>
      <c r="M108" s="14" t="s">
        <v>824</v>
      </c>
      <c r="N108" s="14" t="s">
        <v>825</v>
      </c>
      <c r="O108" s="14" t="s">
        <v>1239</v>
      </c>
      <c r="P108" s="14" t="s">
        <v>1231</v>
      </c>
      <c r="Q108" s="14" t="s">
        <v>1121</v>
      </c>
      <c r="R108" s="14" t="s">
        <v>1134</v>
      </c>
      <c r="S108" s="14" t="s">
        <v>1121</v>
      </c>
      <c r="T108" s="14" t="s">
        <v>1121</v>
      </c>
      <c r="U108" s="14">
        <v>28</v>
      </c>
      <c r="V108" s="35">
        <v>0.8</v>
      </c>
      <c r="W108" s="14" t="s">
        <v>1328</v>
      </c>
      <c r="X108" s="14" t="s">
        <v>1329</v>
      </c>
      <c r="Y108" s="14">
        <v>0.1</v>
      </c>
      <c r="Z108" s="14">
        <v>0.2</v>
      </c>
      <c r="AA108" s="14">
        <f t="shared" si="7"/>
        <v>0.30000000000000004</v>
      </c>
    </row>
    <row r="109" spans="1:27" x14ac:dyDescent="0.4">
      <c r="A109" s="31" t="s">
        <v>250</v>
      </c>
      <c r="B109" s="19" t="s">
        <v>115</v>
      </c>
      <c r="C109" s="18" t="s">
        <v>466</v>
      </c>
      <c r="D109" s="18" t="s">
        <v>407</v>
      </c>
      <c r="E109" s="18" t="s">
        <v>649</v>
      </c>
      <c r="F109" s="18" t="s">
        <v>650</v>
      </c>
      <c r="G109" s="18" t="s">
        <v>656</v>
      </c>
      <c r="H109" s="14" t="s">
        <v>471</v>
      </c>
      <c r="I109" s="33" t="s">
        <v>653</v>
      </c>
      <c r="J109" s="33" t="s">
        <v>655</v>
      </c>
      <c r="K109" s="33" t="s">
        <v>652</v>
      </c>
      <c r="L109" s="33" t="s">
        <v>654</v>
      </c>
      <c r="M109" s="14" t="s">
        <v>657</v>
      </c>
      <c r="N109" s="14" t="s">
        <v>658</v>
      </c>
      <c r="O109" s="14" t="s">
        <v>1311</v>
      </c>
      <c r="P109" s="14" t="s">
        <v>1232</v>
      </c>
      <c r="Q109" s="14" t="s">
        <v>1121</v>
      </c>
      <c r="R109" s="14" t="s">
        <v>1134</v>
      </c>
      <c r="S109" s="14" t="s">
        <v>1121</v>
      </c>
      <c r="T109" s="14" t="s">
        <v>1121</v>
      </c>
      <c r="U109" s="14">
        <v>30</v>
      </c>
      <c r="V109" s="35">
        <v>1</v>
      </c>
      <c r="W109" s="14" t="s">
        <v>1312</v>
      </c>
      <c r="X109" s="14" t="s">
        <v>1313</v>
      </c>
      <c r="Y109" s="14">
        <v>0.1</v>
      </c>
      <c r="Z109" s="14">
        <v>0.1</v>
      </c>
      <c r="AA109" s="14">
        <f t="shared" si="7"/>
        <v>0.2</v>
      </c>
    </row>
    <row r="110" spans="1:27" x14ac:dyDescent="0.4">
      <c r="A110" s="31" t="s">
        <v>250</v>
      </c>
      <c r="B110" s="19" t="s">
        <v>115</v>
      </c>
      <c r="C110" s="18" t="s">
        <v>466</v>
      </c>
      <c r="D110" s="18" t="s">
        <v>407</v>
      </c>
      <c r="E110" s="18" t="s">
        <v>938</v>
      </c>
      <c r="F110" s="18" t="s">
        <v>939</v>
      </c>
      <c r="G110" s="18" t="s">
        <v>945</v>
      </c>
      <c r="H110" s="14" t="s">
        <v>471</v>
      </c>
      <c r="I110" s="33" t="s">
        <v>942</v>
      </c>
      <c r="J110" s="33" t="s">
        <v>944</v>
      </c>
      <c r="K110" s="33" t="s">
        <v>941</v>
      </c>
      <c r="L110" s="33" t="s">
        <v>943</v>
      </c>
      <c r="M110" s="14" t="s">
        <v>946</v>
      </c>
      <c r="N110" s="14" t="s">
        <v>947</v>
      </c>
      <c r="O110" s="14" t="s">
        <v>1311</v>
      </c>
      <c r="P110" s="14" t="s">
        <v>1233</v>
      </c>
      <c r="Q110" s="14" t="s">
        <v>1121</v>
      </c>
      <c r="R110" s="14" t="s">
        <v>1134</v>
      </c>
      <c r="S110" s="14" t="s">
        <v>1121</v>
      </c>
      <c r="T110" s="14" t="s">
        <v>1121</v>
      </c>
      <c r="U110" s="14">
        <v>17</v>
      </c>
      <c r="V110" s="35">
        <v>0.9</v>
      </c>
      <c r="W110" s="14" t="s">
        <v>1334</v>
      </c>
      <c r="X110" s="14" t="s">
        <v>1335</v>
      </c>
      <c r="Y110" s="14">
        <v>0.1</v>
      </c>
      <c r="Z110" s="14">
        <v>0.2</v>
      </c>
      <c r="AA110" s="14">
        <f t="shared" si="7"/>
        <v>0.30000000000000004</v>
      </c>
    </row>
    <row r="111" spans="1:27" x14ac:dyDescent="0.4">
      <c r="A111" s="31" t="s">
        <v>250</v>
      </c>
      <c r="B111" s="19" t="s">
        <v>115</v>
      </c>
      <c r="C111" s="18" t="s">
        <v>466</v>
      </c>
      <c r="D111" s="18" t="s">
        <v>407</v>
      </c>
      <c r="E111" s="18" t="s">
        <v>786</v>
      </c>
      <c r="F111" s="18" t="s">
        <v>787</v>
      </c>
      <c r="G111" s="18" t="s">
        <v>793</v>
      </c>
      <c r="H111" s="14" t="s">
        <v>471</v>
      </c>
      <c r="I111" s="33" t="s">
        <v>790</v>
      </c>
      <c r="J111" s="33" t="s">
        <v>792</v>
      </c>
      <c r="K111" s="33" t="s">
        <v>789</v>
      </c>
      <c r="L111" s="33" t="s">
        <v>791</v>
      </c>
      <c r="M111" s="14" t="s">
        <v>794</v>
      </c>
      <c r="N111" s="14" t="s">
        <v>795</v>
      </c>
      <c r="O111" s="14" t="s">
        <v>1311</v>
      </c>
      <c r="P111" s="14" t="s">
        <v>1234</v>
      </c>
      <c r="Q111" s="14" t="s">
        <v>1121</v>
      </c>
      <c r="R111" s="14" t="s">
        <v>1134</v>
      </c>
      <c r="S111" s="14" t="s">
        <v>1121</v>
      </c>
      <c r="T111" s="14" t="s">
        <v>1121</v>
      </c>
      <c r="U111" s="14">
        <v>5</v>
      </c>
      <c r="V111" s="35">
        <v>1</v>
      </c>
      <c r="W111" s="14" t="s">
        <v>1324</v>
      </c>
      <c r="X111" s="14" t="s">
        <v>1325</v>
      </c>
      <c r="Y111" s="14">
        <v>0.1</v>
      </c>
      <c r="Z111" s="14">
        <v>0.1</v>
      </c>
      <c r="AA111" s="14">
        <f t="shared" si="7"/>
        <v>0.2</v>
      </c>
    </row>
    <row r="112" spans="1:27" x14ac:dyDescent="0.4">
      <c r="A112" s="31" t="s">
        <v>250</v>
      </c>
      <c r="B112" s="19" t="s">
        <v>115</v>
      </c>
      <c r="C112" s="18" t="s">
        <v>466</v>
      </c>
      <c r="D112" s="18" t="s">
        <v>407</v>
      </c>
      <c r="E112" s="18" t="s">
        <v>831</v>
      </c>
      <c r="F112" s="18" t="s">
        <v>832</v>
      </c>
      <c r="G112" s="18" t="s">
        <v>837</v>
      </c>
      <c r="H112" s="14" t="s">
        <v>471</v>
      </c>
      <c r="I112" s="33" t="s">
        <v>835</v>
      </c>
      <c r="J112" s="33" t="s">
        <v>836</v>
      </c>
      <c r="K112" s="33" t="s">
        <v>834</v>
      </c>
      <c r="L112" s="33" t="s">
        <v>836</v>
      </c>
      <c r="M112" s="14" t="s">
        <v>838</v>
      </c>
      <c r="N112" s="14" t="s">
        <v>839</v>
      </c>
      <c r="O112" s="14" t="s">
        <v>1239</v>
      </c>
      <c r="P112" s="14" t="s">
        <v>1235</v>
      </c>
      <c r="Q112" s="14" t="s">
        <v>1121</v>
      </c>
      <c r="R112" s="14" t="s">
        <v>1134</v>
      </c>
      <c r="S112" s="14" t="s">
        <v>1121</v>
      </c>
      <c r="T112" s="14" t="s">
        <v>1121</v>
      </c>
      <c r="U112" s="14">
        <v>39</v>
      </c>
      <c r="V112" s="35">
        <v>0.8</v>
      </c>
      <c r="W112" s="14" t="s">
        <v>1330</v>
      </c>
      <c r="X112" s="14" t="s">
        <v>1331</v>
      </c>
      <c r="Y112" s="14">
        <v>0.1</v>
      </c>
      <c r="Z112" s="14">
        <v>0.2</v>
      </c>
      <c r="AA112" s="14">
        <f t="shared" si="7"/>
        <v>0.30000000000000004</v>
      </c>
    </row>
    <row r="113" spans="1:27" x14ac:dyDescent="0.4">
      <c r="A113" s="31" t="s">
        <v>250</v>
      </c>
      <c r="B113" s="19" t="s">
        <v>115</v>
      </c>
      <c r="C113" s="18" t="s">
        <v>466</v>
      </c>
      <c r="D113" s="18" t="s">
        <v>407</v>
      </c>
      <c r="E113" s="18" t="s">
        <v>766</v>
      </c>
      <c r="F113" s="18" t="s">
        <v>1065</v>
      </c>
      <c r="G113" s="18" t="s">
        <v>1070</v>
      </c>
      <c r="H113" s="14" t="s">
        <v>471</v>
      </c>
      <c r="I113" s="33" t="s">
        <v>1067</v>
      </c>
      <c r="J113" s="33" t="s">
        <v>1069</v>
      </c>
      <c r="K113" s="33" t="s">
        <v>1066</v>
      </c>
      <c r="L113" s="33" t="s">
        <v>1068</v>
      </c>
      <c r="M113" s="14" t="s">
        <v>1071</v>
      </c>
      <c r="N113" s="14" t="s">
        <v>1072</v>
      </c>
      <c r="O113" s="14" t="s">
        <v>1239</v>
      </c>
      <c r="P113" s="14" t="s">
        <v>1236</v>
      </c>
      <c r="Q113" s="14" t="s">
        <v>1121</v>
      </c>
      <c r="R113" s="14" t="s">
        <v>1134</v>
      </c>
      <c r="S113" s="14" t="s">
        <v>1121</v>
      </c>
      <c r="T113" s="14" t="s">
        <v>1121</v>
      </c>
      <c r="U113" s="14">
        <v>5157</v>
      </c>
      <c r="V113" s="35">
        <v>0.7</v>
      </c>
      <c r="W113" s="14" t="s">
        <v>1336</v>
      </c>
      <c r="X113" s="14" t="s">
        <v>1337</v>
      </c>
      <c r="Y113" s="14">
        <v>3.5</v>
      </c>
      <c r="Z113" s="14">
        <v>1</v>
      </c>
      <c r="AA113" s="14">
        <f t="shared" si="7"/>
        <v>4.5</v>
      </c>
    </row>
    <row r="114" spans="1:27" x14ac:dyDescent="0.4">
      <c r="A114" s="31" t="s">
        <v>250</v>
      </c>
      <c r="B114" s="19" t="s">
        <v>115</v>
      </c>
      <c r="C114" s="18" t="s">
        <v>466</v>
      </c>
      <c r="D114" s="18" t="s">
        <v>407</v>
      </c>
      <c r="E114" s="18" t="s">
        <v>463</v>
      </c>
      <c r="F114" s="18" t="s">
        <v>464</v>
      </c>
      <c r="G114" s="18" t="s">
        <v>472</v>
      </c>
      <c r="H114" s="14" t="s">
        <v>471</v>
      </c>
      <c r="I114" s="33" t="s">
        <v>468</v>
      </c>
      <c r="J114" s="33" t="s">
        <v>470</v>
      </c>
      <c r="K114" s="33" t="s">
        <v>467</v>
      </c>
      <c r="L114" s="33" t="s">
        <v>469</v>
      </c>
      <c r="M114" s="14" t="s">
        <v>473</v>
      </c>
      <c r="N114" s="14" t="s">
        <v>474</v>
      </c>
      <c r="O114" s="14" t="s">
        <v>1239</v>
      </c>
      <c r="P114" s="14" t="s">
        <v>1237</v>
      </c>
      <c r="Q114" s="14" t="s">
        <v>1121</v>
      </c>
      <c r="R114" s="14" t="s">
        <v>1134</v>
      </c>
      <c r="S114" s="14" t="s">
        <v>1121</v>
      </c>
      <c r="T114" s="14" t="s">
        <v>1121</v>
      </c>
      <c r="U114" s="14">
        <v>5</v>
      </c>
      <c r="V114" s="35">
        <v>0.7</v>
      </c>
      <c r="W114" s="14" t="s">
        <v>1305</v>
      </c>
      <c r="X114" s="14" t="s">
        <v>1306</v>
      </c>
      <c r="Y114" s="14">
        <v>0.1</v>
      </c>
      <c r="Z114" s="14">
        <v>0.3</v>
      </c>
      <c r="AA114" s="14">
        <f t="shared" si="7"/>
        <v>0.4</v>
      </c>
    </row>
    <row r="115" spans="1:27" x14ac:dyDescent="0.4">
      <c r="A115" s="31" t="s">
        <v>250</v>
      </c>
      <c r="B115" s="15" t="s">
        <v>1126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>
        <v>19015</v>
      </c>
      <c r="V115" s="15"/>
      <c r="W115" s="15"/>
      <c r="X115" s="15"/>
      <c r="Y115" s="15">
        <v>101.7</v>
      </c>
      <c r="Z115" s="15">
        <v>9.1999999999999993</v>
      </c>
      <c r="AA115" s="15">
        <f t="shared" si="7"/>
        <v>110.9</v>
      </c>
    </row>
    <row r="116" spans="1:27" x14ac:dyDescent="0.4">
      <c r="A116" s="32" t="s">
        <v>250</v>
      </c>
      <c r="B116" s="26" t="s">
        <v>1132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>
        <v>121714</v>
      </c>
      <c r="V116" s="36"/>
      <c r="W116" s="26"/>
      <c r="X116" s="26"/>
      <c r="Y116" s="26"/>
      <c r="Z116" s="26"/>
      <c r="AA116" s="19"/>
    </row>
  </sheetData>
  <autoFilter ref="A1:U116" xr:uid="{65842AB1-3312-48CB-A668-BE8C750EDBD6}"/>
  <phoneticPr fontId="6" type="noConversion"/>
  <conditionalFormatting sqref="H1:H1048576">
    <cfRule type="containsText" dxfId="8" priority="76" operator="containsText" text="HIGH">
      <formula>NOT(ISERROR(SEARCH("HIGH",H1)))</formula>
    </cfRule>
    <cfRule type="containsText" dxfId="7" priority="77" operator="containsText" text="MEDIUM">
      <formula>NOT(ISERROR(SEARCH("MEDIUM",H1)))</formula>
    </cfRule>
    <cfRule type="containsText" dxfId="6" priority="78" operator="containsText" text="LOW">
      <formula>NOT(ISERROR(SEARCH("LOW",H1)))</formula>
    </cfRule>
  </conditionalFormatting>
  <conditionalFormatting sqref="H1:L1048576">
    <cfRule type="containsText" dxfId="5" priority="79" operator="containsText" text="YES">
      <formula>NOT(ISERROR(SEARCH("YES",H1)))</formula>
    </cfRule>
    <cfRule type="containsText" dxfId="4" priority="80" operator="containsText" text="PARTIAL">
      <formula>NOT(ISERROR(SEARCH("PARTIAL",H1)))</formula>
    </cfRule>
    <cfRule type="containsText" dxfId="3" priority="81" operator="containsText" text="UNKNOWN">
      <formula>NOT(ISERROR(SEARCH("UNKNOWN",H1)))</formula>
    </cfRule>
    <cfRule type="containsText" dxfId="2" priority="82" operator="containsText" text="NO">
      <formula>NOT(ISERROR(SEARCH("NO",H1)))</formula>
    </cfRule>
  </conditionalFormatting>
  <conditionalFormatting sqref="Q1:Q1048576">
    <cfRule type="containsText" dxfId="1" priority="75" operator="containsText" text="Tausif">
      <formula>NOT(ISERROR(SEARCH("Tausif",Q1)))</formula>
    </cfRule>
  </conditionalFormatting>
  <conditionalFormatting sqref="U4 U8 U12 U15 U23 U26 U36 U38 U83 U87 U89 U92 U96 U115 Q1:T1048576 V2:AA116">
    <cfRule type="containsText" dxfId="0" priority="74" operator="containsText" text="Ashish">
      <formula>NOT(ISERROR(SEARCH("Ashish",Q1)))</formula>
    </cfRule>
  </conditionalFormatting>
  <pageMargins left="0.7" right="0.7" top="0.75" bottom="0.75" header="0.3" footer="0.3"/>
  <pageSetup orientation="portrait" r:id="rId1"/>
  <ignoredErrors>
    <ignoredError sqref="Y4:AA4 AA2 AA5:AA7 Y8:Z8 Y12:Z12 AA9:AA11 AA13:AA14 AA16:AA115 Y15:AA15" unlockedFormula="1"/>
    <ignoredError sqref="AA8 AA12" formula="1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51C084387A14AA1D6C4E706098518" ma:contentTypeVersion="13" ma:contentTypeDescription="Create a new document." ma:contentTypeScope="" ma:versionID="e485b4eaa0a8c7ebb945fdb034055bac">
  <xsd:schema xmlns:xsd="http://www.w3.org/2001/XMLSchema" xmlns:xs="http://www.w3.org/2001/XMLSchema" xmlns:p="http://schemas.microsoft.com/office/2006/metadata/properties" xmlns:ns2="407c247a-6809-4553-bc51-dce502e6cb9f" xmlns:ns3="eff51b78-28c7-45c2-a200-dc7c0d01b790" targetNamespace="http://schemas.microsoft.com/office/2006/metadata/properties" ma:root="true" ma:fieldsID="ca5e720ae1e5825bbd469a5eda5a8441" ns2:_="" ns3:_="">
    <xsd:import namespace="407c247a-6809-4553-bc51-dce502e6cb9f"/>
    <xsd:import namespace="eff51b78-28c7-45c2-a200-dc7c0d01b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c247a-6809-4553-bc51-dce502e6c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7a8fa13-03b4-4f8e-98e7-e357490cb4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51b78-28c7-45c2-a200-dc7c0d01b7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9d9271f-3708-42a2-a8d7-5204bb8e90b5}" ma:internalName="TaxCatchAll" ma:showField="CatchAllData" ma:web="eff51b78-28c7-45c2-a200-dc7c0d01b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f51b78-28c7-45c2-a200-dc7c0d01b790" xsi:nil="true"/>
    <lcf76f155ced4ddcb4097134ff3c332f xmlns="407c247a-6809-4553-bc51-dce502e6c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F0E58-D252-40C2-AEFE-836347D75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06E0F-F639-468F-B844-A590D5B87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7c247a-6809-4553-bc51-dce502e6cb9f"/>
    <ds:schemaRef ds:uri="eff51b78-28c7-45c2-a200-dc7c0d01b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B7542-00CC-4506-878A-9D2C35A65020}">
  <ds:schemaRefs>
    <ds:schemaRef ds:uri="http://schemas.microsoft.com/office/2006/metadata/properties"/>
    <ds:schemaRef ds:uri="http://schemas.microsoft.com/office/infopath/2007/PartnerControls"/>
    <ds:schemaRef ds:uri="eff51b78-28c7-45c2-a200-dc7c0d01b790"/>
    <ds:schemaRef ds:uri="407c247a-6809-4553-bc51-dce502e6cb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master_pattern_v8</vt:lpstr>
      <vt:lpstr>pivot_static_view</vt:lpstr>
    </vt:vector>
  </TitlesOfParts>
  <Manager/>
  <Company>The Great Eastern Life Assurance Company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Kosambia Rakesh Ranginlal</dc:creator>
  <cp:keywords/>
  <dc:description/>
  <cp:lastModifiedBy>Kosambia Rakesh Ranginlal</cp:lastModifiedBy>
  <cp:revision/>
  <dcterms:created xsi:type="dcterms:W3CDTF">2026-02-18T04:08:59Z</dcterms:created>
  <dcterms:modified xsi:type="dcterms:W3CDTF">2026-02-22T15:17:40Z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0x010100C4851C084387A14AA1D6C4E706098518</vt:lpwstr>
  </property>
  <property fmtid="{D5CDD505-2E9C-101B-9397-08002B2CF9AE}" pid="3" name="MediaServiceImageTags">
    <vt:lpwstr/>
  </property>
</Properties>
</file>